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ORMS\MOV-1 TO 11\RB\MAHITI\DAILY\09-04-2025\"/>
    </mc:Choice>
  </mc:AlternateContent>
  <bookViews>
    <workbookView xWindow="0" yWindow="0" windowWidth="20490" windowHeight="7155"/>
  </bookViews>
  <sheets>
    <sheet name="Sheet1" sheetId="1" r:id="rId1"/>
    <sheet name="Sheet2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0" i="1"/>
  <c r="N9" i="1"/>
  <c r="N7" i="1"/>
  <c r="N5" i="1"/>
  <c r="N4" i="1"/>
</calcChain>
</file>

<file path=xl/sharedStrings.xml><?xml version="1.0" encoding="utf-8"?>
<sst xmlns="http://schemas.openxmlformats.org/spreadsheetml/2006/main" count="330" uniqueCount="173">
  <si>
    <t>SR.NO</t>
  </si>
  <si>
    <t>TEAM OF MOBILE SQUAD</t>
  </si>
  <si>
    <t>NAME OF STATE TAX OFFICER</t>
  </si>
  <si>
    <t>SUPPLIER DETAIL</t>
  </si>
  <si>
    <t>RECIPIENT DETAILS</t>
  </si>
  <si>
    <t>DETAINTION DETAIL</t>
  </si>
  <si>
    <t>RECEIPT OF TAX &amp; PENALTY (CGST+SGST+IGST)</t>
  </si>
  <si>
    <t>COMMODITY</t>
  </si>
  <si>
    <t>UNDER WHICH SECTION</t>
  </si>
  <si>
    <t>REASON FOR DETAINTION</t>
  </si>
  <si>
    <t xml:space="preserve">REMARKS </t>
  </si>
  <si>
    <t>TRANSPORTER DETAILS</t>
  </si>
  <si>
    <t>E WAY BILL NO (IF AVAILABLE)</t>
  </si>
  <si>
    <t>NAME OF SUPPLIER</t>
  </si>
  <si>
    <t>GSTN NO.</t>
  </si>
  <si>
    <t>NAME OF RECIPIENT</t>
  </si>
  <si>
    <t>VEHICLE NO.</t>
  </si>
  <si>
    <t>DETAINTION DATE</t>
  </si>
  <si>
    <t>RELEASED DATE</t>
  </si>
  <si>
    <t>TAX</t>
  </si>
  <si>
    <t>PENALTY + OTHERS</t>
  </si>
  <si>
    <t>TOTAL</t>
  </si>
  <si>
    <t>TRANSPORTER NAME</t>
  </si>
  <si>
    <t>TRANSPORTER ID</t>
  </si>
  <si>
    <t>Team 1, DIV-7, Surat</t>
  </si>
  <si>
    <t>R B PATEL</t>
  </si>
  <si>
    <t>R.M.ENTERPRISE</t>
  </si>
  <si>
    <t>27KLMPK4809L1ZC</t>
  </si>
  <si>
    <t>SHYAM METAL</t>
  </si>
  <si>
    <t>24EEFPR2792P1ZP</t>
  </si>
  <si>
    <t>GJ04AW3330</t>
  </si>
  <si>
    <t>NA</t>
  </si>
  <si>
    <t>7404-COPPER SCRAP</t>
  </si>
  <si>
    <t>Purchase known from bogus dealer</t>
  </si>
  <si>
    <t>માલની હરાજી થયેલ છે પરંતુ વાહન પેડિંગ છે</t>
  </si>
  <si>
    <t>Siddhi Vinayak Enterprise</t>
  </si>
  <si>
    <t>27BLVPV4819F1ZC</t>
  </si>
  <si>
    <t>VEDANT ENTERPRISE</t>
  </si>
  <si>
    <t>24BLFPV5373Q1Z8</t>
  </si>
  <si>
    <t>GJ04AW0333</t>
  </si>
  <si>
    <t>24-06-2021</t>
  </si>
  <si>
    <t>Mismatch between the goods in movement and documents tendered. different commodity.</t>
  </si>
  <si>
    <t>METRO FRESH TRADING COMPANY</t>
  </si>
  <si>
    <t>33ECMPS6281K1ZW</t>
  </si>
  <si>
    <t>HARSH IMPEX</t>
  </si>
  <si>
    <t>24AVOPC1630M1ZN</t>
  </si>
  <si>
    <t>GJ31T0314</t>
  </si>
  <si>
    <t>7404-BRASS SCRAP</t>
  </si>
  <si>
    <t>EXCESS QUNATITY OF GOODS FOUND</t>
  </si>
  <si>
    <t>CONVEYANCE FINE PAID BY 242400002083TMP VIDE CPIN:24082400048266 ON DATED 08/08/2024 CONVEYANCE FINE PAID GOODS CONFISCATED.વાહનનો ફાઈન ભરીને વાહન મુક્ત કરાવેલ છે. માલ ઉતારી લીધેલ છે. વેપારીશ્રી દ્વારા અપીલ ફાઇલ કરેલ છે.</t>
  </si>
  <si>
    <t>GJ19X4815</t>
  </si>
  <si>
    <t>7204-MS SCRAP</t>
  </si>
  <si>
    <t>NO ANY DOCUMENTS TENDERED</t>
  </si>
  <si>
    <t> સદર કેસમાં ગુજરાત  રાજ્ય માલ અને સેવા કર અધિનિયમ/ કેન્દ્રીય માલ અને સેવા કર અધિનિયમની કલમ -૧૩૦ અંતર્ગત ઉપસ્થિત થયેલ જવાબદારી સમક્ષ અપીલ તબ્બકે કોઈ રજૂઆત થયેલ છે કે નહીં તેની અધ્યતન જાણકારી મા. ના. રા. વેરા. કમી. અપીલ વિભાગ-07 ની કચેરીપાસેથી અધ્યતન જાણકારી પ્રાપ્ત કરીને સંબંધિત વેલ્યુઅર પાસેથી ઉક્ત માલની વેલ્યુએશન સંબંધિત એહવાલ 15 દિવસમાં પ્રાપ્ત કરીને ત્વરિત હરાજીની કાર્યવાહી હાથે ધરવામાં આવછે..</t>
  </si>
  <si>
    <t>SELF</t>
  </si>
  <si>
    <t>URP</t>
  </si>
  <si>
    <t>GREEN BRIDGE IMPEX PVT LTD</t>
  </si>
  <si>
    <t>24AACCJ8628E1ZN</t>
  </si>
  <si>
    <t>BLOODSIGN EXIM</t>
  </si>
  <si>
    <t>24FJVPP8535A1ZT</t>
  </si>
  <si>
    <t>MH03DV7784</t>
  </si>
  <si>
    <t>17/09/2024</t>
  </si>
  <si>
    <t>7602-ALUMINUM SCRAP</t>
  </si>
  <si>
    <t xml:space="preserve">VERIFICATION OF GENUINENESS OF GOODS AND DOCUMENTS </t>
  </si>
  <si>
    <t>VISHNU ENTERPRISES</t>
  </si>
  <si>
    <t>27CRYPV4581J1ZK</t>
  </si>
  <si>
    <t>R R INTERNATIONAL</t>
  </si>
  <si>
    <t>09AZMPA6141K1Z7</t>
  </si>
  <si>
    <t>RJ05GB0740</t>
  </si>
  <si>
    <t>7204-M S SCRAP</t>
  </si>
  <si>
    <t>માલ  સહિત વાહન પેડિંગ છે.ડિમાંડ ઓર્ડ્રર્ના ૯૦ દિવસ બાકી હોઇ હરાજી શક્ય નથી.</t>
  </si>
  <si>
    <t>ARHAAN FERROUS AND NON FERROUS SOLUTIONS PVT LTD</t>
  </si>
  <si>
    <t>29AATCA9148B1ZA</t>
  </si>
  <si>
    <t>CREDENCE ECOFIBRE PVT LTD</t>
  </si>
  <si>
    <t>24AAJCC8016A1Z5</t>
  </si>
  <si>
    <t>DD01M9753</t>
  </si>
  <si>
    <t>24/12/2024</t>
  </si>
  <si>
    <t>3915-PET BOTTLE SCRAP</t>
  </si>
  <si>
    <t>MOV 10 ISSUED AND THE TAXPAYER HAS GONE TO HON. GUJARATI  HIGH COURT ; માલ  સહિત વાહન પેડિંગ છે.</t>
  </si>
  <si>
    <t>SREE VINAYAKA AGENCYS</t>
  </si>
  <si>
    <t>29DNAPA7453M1ZP</t>
  </si>
  <si>
    <t>JB ECOTEX LTD</t>
  </si>
  <si>
    <t>24AAFCJ3332A1Z9</t>
  </si>
  <si>
    <t>MH03DV8494</t>
  </si>
  <si>
    <t>17/01/2025</t>
  </si>
  <si>
    <t xml:space="preserve">INGENUINE INWARD SUPPLY FOUND </t>
  </si>
  <si>
    <t>GOODS CONFISCATED AND VEHICLE REALEASED ON PAYMENT OF CONVEYANCE FINE BY TEMPID :242500000113TMP વાહનનો ફાઈન ભરીને વાહન મુક્ત કરાવેલ છે. માલ ઉતારી લીધેલ છે. ડિમાંડ ઓર્ડ્રર્ના ૯૦ દિવસ બાકી હોઇ હરાજી શક્ય નથી.</t>
  </si>
  <si>
    <t>RAILWAY</t>
  </si>
  <si>
    <t>30/01/2025</t>
  </si>
  <si>
    <t>2401-PAN MASALA &amp; TOBACCO</t>
  </si>
  <si>
    <t xml:space="preserve">NO ANY DOCUMENTS TENDERED </t>
  </si>
  <si>
    <t>goods handover by railway authority of surat,MOV-11 WAS ALREADY ISSUED.ડિમાંડ ઓર્ડ્રર્ના ૯૦ દિવસ બાકી હોઇ હરાજી શક્ય નથી.</t>
  </si>
  <si>
    <t>MH04HY2971</t>
  </si>
  <si>
    <t>8703-LEXUS CAR NX 350</t>
  </si>
  <si>
    <t>MEGAPAY SOLUTIONS PVT LTD</t>
  </si>
  <si>
    <t>06AAPCM4605H1ZE</t>
  </si>
  <si>
    <t>DHANI STEEL(OPC) PVT LTD</t>
  </si>
  <si>
    <t>24AAKCD3483F1ZO</t>
  </si>
  <si>
    <t>DD01Q9761</t>
  </si>
  <si>
    <t>7204-MS HEAVY SCRAP</t>
  </si>
  <si>
    <t>INWARD SUPPLY OF SUPPLIER SEEMS TO BE INGENUINE</t>
  </si>
  <si>
    <t>MOV-04 and MOV-06 ISSUED</t>
  </si>
  <si>
    <t>YASH ROADLINES</t>
  </si>
  <si>
    <t>26AADCR6336E1ZH</t>
  </si>
  <si>
    <t>FOR FURTHER VERIFICATION OF INWARD AND OUTWARD SUPPLY</t>
  </si>
  <si>
    <t>OM ROAD LINES</t>
  </si>
  <si>
    <t>24EVMPS4555K1ZV</t>
  </si>
  <si>
    <t>FOR FURTHER VERIFICATION</t>
  </si>
  <si>
    <t>MOV-01 AND MOV-02 ISSUED</t>
  </si>
  <si>
    <t>BHAIRVAV ENTERPRISE</t>
  </si>
  <si>
    <t>24DCZPN9436D1Z0</t>
  </si>
  <si>
    <t>CHATURBHUJ ALLOY PVT LTD</t>
  </si>
  <si>
    <t>GJ16W5866</t>
  </si>
  <si>
    <t>SR NO</t>
  </si>
  <si>
    <t xml:space="preserve">TEAM </t>
  </si>
  <si>
    <t xml:space="preserve"> OFFICER  NAME</t>
  </si>
  <si>
    <t xml:space="preserve">EWB VERIFICATION </t>
  </si>
  <si>
    <t>NO OF VEHICLE INSPECTED</t>
  </si>
  <si>
    <t>NO OF VEHICLE PHYSICALLY VERIFIED</t>
  </si>
  <si>
    <t>NO OF VEHICLES DETAINED</t>
  </si>
  <si>
    <t>NO OF VEHICLES RELEASED</t>
  </si>
  <si>
    <t xml:space="preserve">AMOUNT RECOVERS  (IN LAKHS) </t>
  </si>
  <si>
    <t>5402 YARN</t>
  </si>
  <si>
    <t>ONLY DELIVERY CHALLAN PRODUCED AT THE TIME OF VEHICLE INTERCEPTION</t>
  </si>
  <si>
    <t>24AADCD8209J1ZO</t>
  </si>
  <si>
    <t>SHREE LAXMI TEXTILES</t>
  </si>
  <si>
    <t>24AHEPN5646E1ZG</t>
  </si>
  <si>
    <t>GJ15AX0151</t>
  </si>
  <si>
    <t>DHANI RAYON PVT LTD</t>
  </si>
  <si>
    <t>GJ01CX8500</t>
  </si>
  <si>
    <t>7204 M S SCRAP</t>
  </si>
  <si>
    <t>NO BILL AND E-WAY BILL</t>
  </si>
  <si>
    <t>OMEGA METAL</t>
  </si>
  <si>
    <t>24ETOPD4132H1ZU</t>
  </si>
  <si>
    <t>COPPERWRX METALS PRIVATE LIMITED</t>
  </si>
  <si>
    <t>24AALCC5293P1ZZ</t>
  </si>
  <si>
    <t>MH48DC4837</t>
  </si>
  <si>
    <t>WELCOME TRANSPORT SURAT-02</t>
  </si>
  <si>
    <t>24DXNPK6242K1Z3</t>
  </si>
  <si>
    <t>GJ19Y0269</t>
  </si>
  <si>
    <t>NO INVOICE AND E-WAY BILL FOR GOODS IN TRANSIST</t>
  </si>
  <si>
    <t>74040012-COPPER SCRAP</t>
  </si>
  <si>
    <t>8446-OLD LOOMS MACHINE</t>
  </si>
  <si>
    <t>GJ36T1936</t>
  </si>
  <si>
    <t>2106- BETEL NUT</t>
  </si>
  <si>
    <t xml:space="preserve">UNLOADED GOODS CONFISCATED FROM RAILWAY </t>
  </si>
  <si>
    <t>2403-MIXED GOODS</t>
  </si>
  <si>
    <t>NO INVOICE AND E-WAY BILL FOR  UNLOADED GOODS FROM RAILWAY</t>
  </si>
  <si>
    <t>MOV-04 AND MOV-06 ISSUED</t>
  </si>
  <si>
    <t>PLACE OF DISPATCH MISMATCH</t>
  </si>
  <si>
    <t>WESTFIELD ENERGY INDIA PRIVATE LIMITED</t>
  </si>
  <si>
    <t>27AADCW7224N1ZU</t>
  </si>
  <si>
    <t>GJ12BZ7533</t>
  </si>
  <si>
    <t>7305- BARE PIPE</t>
  </si>
  <si>
    <t>KRISHNA TRANSLOGISTICS</t>
  </si>
  <si>
    <t>27AAXFK0325M1ZU</t>
  </si>
  <si>
    <t>CLPL MADHYA PRADESH</t>
  </si>
  <si>
    <t>23AAGCC1149M1ZP</t>
  </si>
  <si>
    <t>CARGO MOTORCYCLES LLP</t>
  </si>
  <si>
    <t>24AARFC7244F1ZD</t>
  </si>
  <si>
    <t>UP32GN4076</t>
  </si>
  <si>
    <t>8711-BIKE</t>
  </si>
  <si>
    <t>E-WAY BILL EXPIRED</t>
  </si>
  <si>
    <t>APOLLO SUPPLY CHAIN PVT LTD</t>
  </si>
  <si>
    <t>06AALCA0748D1ZY</t>
  </si>
  <si>
    <t>DETAIL REPORT OF REVENUE RECEIPT BY MOBILE SQUAD DIV-7 SURAT DATE 08/04/2025</t>
  </si>
  <si>
    <t>JEVAN SALES AND SERVICE</t>
  </si>
  <si>
    <t>GJ12CT8870</t>
  </si>
  <si>
    <t>08-04-0205</t>
  </si>
  <si>
    <t>8548-SCRAP OF SPLIT A.C</t>
  </si>
  <si>
    <t>CHALLAN PAID BY  KAJI LATIF ( DRIVER) GSTIN:242500000680TMP</t>
  </si>
  <si>
    <t>NO INVOICE AND E-WAY BILL FOR GOODS IN TRANSIST PRODUCED DURING INTERCEPTION AND AFTER INTERCEPTION</t>
  </si>
  <si>
    <t>CHALLAN PAID BY GSTIN:242500000666TMP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</si>
</sst>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Calibri"/>
      <scheme val="minor"/>
    </font>
    <font>
      <sz val="11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6"/>
      <name val="Calibri"/>
      <family val="2"/>
    </font>
    <font>
      <b/>
      <sz val="18"/>
      <color rgb="FF000000"/>
      <name val="Lucida Sans"/>
      <family val="2"/>
    </font>
    <font>
      <sz val="18"/>
      <name val="Lucida Sans"/>
      <family val="2"/>
    </font>
    <font>
      <sz val="14"/>
      <color rgb="FF000000"/>
      <name val="Calibri"/>
      <family val="2"/>
    </font>
    <font>
      <b/>
      <sz val="26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4" fillId="0" borderId="0" xfId="0" applyNumberFormat="1" applyFont="1"/>
    <xf numFmtId="0" fontId="4" fillId="0" borderId="0" xfId="0" applyFont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2" fillId="0" borderId="7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14" fontId="2" fillId="0" borderId="7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1" fontId="2" fillId="0" borderId="8" xfId="0" applyNumberFormat="1" applyFont="1" applyFill="1" applyBorder="1" applyAlignment="1">
      <alignment horizontal="center" vertical="center" wrapText="1"/>
    </xf>
    <xf numFmtId="14" fontId="2" fillId="0" borderId="8" xfId="0" applyNumberFormat="1" applyFont="1" applyFill="1" applyBorder="1" applyAlignment="1">
      <alignment horizontal="center" vertical="center" wrapText="1"/>
    </xf>
    <xf numFmtId="1" fontId="8" fillId="0" borderId="8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" fontId="2" fillId="3" borderId="7" xfId="0" applyNumberFormat="1" applyFont="1" applyFill="1" applyBorder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/>
    <xf numFmtId="0" fontId="6" fillId="0" borderId="1" xfId="0" applyFont="1" applyBorder="1" applyAlignment="1">
      <alignment horizontal="center" vertical="center" wrapText="1"/>
    </xf>
    <xf numFmtId="0" fontId="7" fillId="0" borderId="3" xfId="0" applyFont="1" applyBorder="1"/>
    <xf numFmtId="0" fontId="9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7" fillId="0" borderId="2" xfId="0" applyFont="1" applyBorder="1"/>
    <xf numFmtId="0" fontId="10" fillId="0" borderId="0" xfId="0" applyFont="1"/>
    <xf numFmtId="0" fontId="3" fillId="2" borderId="3" xfId="0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vertical="center" wrapText="1"/>
    </xf>
    <xf numFmtId="1" fontId="8" fillId="2" borderId="6" xfId="0" applyNumberFormat="1" applyFont="1" applyFill="1" applyBorder="1" applyAlignment="1">
      <alignment horizontal="center" vertical="center" wrapText="1"/>
    </xf>
    <xf numFmtId="0" fontId="2" fillId="2" borderId="6" xfId="0" quotePrefix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"/>
  <sheetViews>
    <sheetView tabSelected="1" topLeftCell="A12" zoomScale="55" zoomScaleNormal="55" workbookViewId="0">
      <selection activeCell="D15" sqref="D15"/>
    </sheetView>
  </sheetViews>
  <sheetFormatPr defaultColWidth="14.42578125" defaultRowHeight="15" x14ac:dyDescent="0.25"/>
  <cols>
    <col min="1" max="1" width="7.42578125" customWidth="1"/>
    <col min="2" max="2" width="22.42578125" customWidth="1"/>
    <col min="3" max="3" width="21.28515625" customWidth="1"/>
    <col min="4" max="4" width="29.7109375" customWidth="1"/>
    <col min="5" max="5" width="32.42578125" customWidth="1"/>
    <col min="6" max="6" width="30.7109375" customWidth="1"/>
    <col min="7" max="7" width="29.28515625" customWidth="1"/>
    <col min="8" max="8" width="27.28515625" customWidth="1"/>
    <col min="9" max="9" width="24.28515625" bestFit="1" customWidth="1"/>
    <col min="10" max="10" width="18.42578125" customWidth="1"/>
    <col min="11" max="11" width="31.42578125" customWidth="1"/>
    <col min="12" max="12" width="15.7109375" customWidth="1"/>
    <col min="13" max="13" width="21.42578125" customWidth="1"/>
    <col min="14" max="14" width="18.140625" customWidth="1"/>
    <col min="15" max="15" width="25.7109375" customWidth="1"/>
    <col min="16" max="16" width="18.42578125" customWidth="1"/>
    <col min="17" max="17" width="61" customWidth="1"/>
    <col min="18" max="18" width="52.7109375" customWidth="1"/>
    <col min="19" max="19" width="36.28515625" customWidth="1"/>
    <col min="20" max="20" width="30.42578125" customWidth="1"/>
    <col min="21" max="31" width="8.7109375" customWidth="1"/>
  </cols>
  <sheetData>
    <row r="1" spans="1:20" ht="53.45" customHeight="1" x14ac:dyDescent="0.25">
      <c r="A1" s="40" t="s">
        <v>165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2"/>
    </row>
    <row r="2" spans="1:20" ht="59.1" customHeight="1" x14ac:dyDescent="0.3">
      <c r="A2" s="36" t="s">
        <v>0</v>
      </c>
      <c r="B2" s="36" t="s">
        <v>1</v>
      </c>
      <c r="C2" s="36" t="s">
        <v>2</v>
      </c>
      <c r="D2" s="38" t="s">
        <v>3</v>
      </c>
      <c r="E2" s="43"/>
      <c r="F2" s="39"/>
      <c r="G2" s="38" t="s">
        <v>4</v>
      </c>
      <c r="H2" s="39"/>
      <c r="I2" s="38" t="s">
        <v>5</v>
      </c>
      <c r="J2" s="43"/>
      <c r="K2" s="39"/>
      <c r="L2" s="38" t="s">
        <v>6</v>
      </c>
      <c r="M2" s="43"/>
      <c r="N2" s="39"/>
      <c r="O2" s="36" t="s">
        <v>7</v>
      </c>
      <c r="P2" s="36" t="s">
        <v>8</v>
      </c>
      <c r="Q2" s="36" t="s">
        <v>9</v>
      </c>
      <c r="R2" s="36" t="s">
        <v>10</v>
      </c>
      <c r="S2" s="38" t="s">
        <v>11</v>
      </c>
      <c r="T2" s="39"/>
    </row>
    <row r="3" spans="1:20" ht="67.5" x14ac:dyDescent="0.25">
      <c r="A3" s="37"/>
      <c r="B3" s="37"/>
      <c r="C3" s="37"/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14</v>
      </c>
      <c r="I3" s="10" t="s">
        <v>16</v>
      </c>
      <c r="J3" s="11" t="s">
        <v>17</v>
      </c>
      <c r="K3" s="11" t="s">
        <v>18</v>
      </c>
      <c r="L3" s="10" t="s">
        <v>19</v>
      </c>
      <c r="M3" s="10" t="s">
        <v>20</v>
      </c>
      <c r="N3" s="10" t="s">
        <v>21</v>
      </c>
      <c r="O3" s="37"/>
      <c r="P3" s="37"/>
      <c r="Q3" s="37"/>
      <c r="R3" s="37"/>
      <c r="S3" s="10" t="s">
        <v>22</v>
      </c>
      <c r="T3" s="10" t="s">
        <v>23</v>
      </c>
    </row>
    <row r="4" spans="1:20" ht="37.5" x14ac:dyDescent="0.25">
      <c r="A4" s="1">
        <v>1</v>
      </c>
      <c r="B4" s="2" t="s">
        <v>24</v>
      </c>
      <c r="C4" s="2" t="s">
        <v>25</v>
      </c>
      <c r="D4" s="3">
        <v>281306002466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4">
        <v>44536</v>
      </c>
      <c r="K4" s="4" t="s">
        <v>31</v>
      </c>
      <c r="L4" s="1">
        <v>0</v>
      </c>
      <c r="M4" s="1">
        <v>1187525</v>
      </c>
      <c r="N4" s="1">
        <f t="shared" ref="N4:N5" si="0">L4+M4</f>
        <v>1187525</v>
      </c>
      <c r="O4" s="1" t="s">
        <v>32</v>
      </c>
      <c r="P4" s="1">
        <v>130</v>
      </c>
      <c r="Q4" s="1" t="s">
        <v>33</v>
      </c>
      <c r="R4" s="1" t="s">
        <v>34</v>
      </c>
      <c r="S4" s="5" t="s">
        <v>31</v>
      </c>
      <c r="T4" s="5" t="s">
        <v>31</v>
      </c>
    </row>
    <row r="5" spans="1:20" ht="37.5" x14ac:dyDescent="0.25">
      <c r="A5" s="2">
        <v>2</v>
      </c>
      <c r="B5" s="2" t="s">
        <v>24</v>
      </c>
      <c r="C5" s="2" t="s">
        <v>25</v>
      </c>
      <c r="D5" s="3">
        <v>211310000000</v>
      </c>
      <c r="E5" s="3" t="s">
        <v>35</v>
      </c>
      <c r="F5" s="3" t="s">
        <v>36</v>
      </c>
      <c r="G5" s="3" t="s">
        <v>37</v>
      </c>
      <c r="H5" s="1" t="s">
        <v>38</v>
      </c>
      <c r="I5" s="1" t="s">
        <v>39</v>
      </c>
      <c r="J5" s="4" t="s">
        <v>40</v>
      </c>
      <c r="K5" s="4" t="s">
        <v>31</v>
      </c>
      <c r="L5" s="1">
        <v>0</v>
      </c>
      <c r="M5" s="1">
        <v>1193940</v>
      </c>
      <c r="N5" s="1">
        <f t="shared" si="0"/>
        <v>1193940</v>
      </c>
      <c r="O5" s="1" t="s">
        <v>32</v>
      </c>
      <c r="P5" s="1">
        <v>130</v>
      </c>
      <c r="Q5" s="1" t="s">
        <v>41</v>
      </c>
      <c r="R5" s="1" t="s">
        <v>34</v>
      </c>
      <c r="S5" s="5" t="s">
        <v>31</v>
      </c>
      <c r="T5" s="5" t="s">
        <v>31</v>
      </c>
    </row>
    <row r="6" spans="1:20" ht="131.25" x14ac:dyDescent="0.25">
      <c r="A6" s="1">
        <v>3</v>
      </c>
      <c r="B6" s="2" t="s">
        <v>24</v>
      </c>
      <c r="C6" s="2" t="s">
        <v>25</v>
      </c>
      <c r="D6" s="3">
        <v>561571179682</v>
      </c>
      <c r="E6" s="3" t="s">
        <v>42</v>
      </c>
      <c r="F6" s="3" t="s">
        <v>43</v>
      </c>
      <c r="G6" s="3" t="s">
        <v>44</v>
      </c>
      <c r="H6" s="1" t="s">
        <v>45</v>
      </c>
      <c r="I6" s="1" t="s">
        <v>46</v>
      </c>
      <c r="J6" s="4">
        <v>45057</v>
      </c>
      <c r="K6" s="4">
        <v>45573</v>
      </c>
      <c r="L6" s="1">
        <v>0</v>
      </c>
      <c r="M6" s="1">
        <v>0</v>
      </c>
      <c r="N6" s="1">
        <v>894798</v>
      </c>
      <c r="O6" s="1" t="s">
        <v>47</v>
      </c>
      <c r="P6" s="1">
        <v>130</v>
      </c>
      <c r="Q6" s="1" t="s">
        <v>48</v>
      </c>
      <c r="R6" s="1" t="s">
        <v>49</v>
      </c>
      <c r="S6" s="5" t="s">
        <v>31</v>
      </c>
      <c r="T6" s="5" t="s">
        <v>31</v>
      </c>
    </row>
    <row r="7" spans="1:20" ht="206.25" x14ac:dyDescent="0.25">
      <c r="A7" s="2">
        <v>4</v>
      </c>
      <c r="B7" s="2" t="s">
        <v>24</v>
      </c>
      <c r="C7" s="2" t="s">
        <v>25</v>
      </c>
      <c r="D7" s="3" t="s">
        <v>31</v>
      </c>
      <c r="E7" s="3" t="s">
        <v>31</v>
      </c>
      <c r="F7" s="3" t="s">
        <v>31</v>
      </c>
      <c r="G7" s="3" t="s">
        <v>31</v>
      </c>
      <c r="H7" s="3" t="s">
        <v>31</v>
      </c>
      <c r="I7" s="1" t="s">
        <v>50</v>
      </c>
      <c r="J7" s="4">
        <v>45450</v>
      </c>
      <c r="K7" s="4" t="s">
        <v>31</v>
      </c>
      <c r="L7" s="1">
        <v>0</v>
      </c>
      <c r="M7" s="1">
        <v>0</v>
      </c>
      <c r="N7" s="1">
        <f>L7+M7</f>
        <v>0</v>
      </c>
      <c r="O7" s="1" t="s">
        <v>51</v>
      </c>
      <c r="P7" s="1">
        <v>130</v>
      </c>
      <c r="Q7" s="1" t="s">
        <v>52</v>
      </c>
      <c r="R7" s="1" t="s">
        <v>53</v>
      </c>
      <c r="S7" s="5" t="s">
        <v>54</v>
      </c>
      <c r="T7" s="5" t="s">
        <v>55</v>
      </c>
    </row>
    <row r="8" spans="1:20" ht="206.25" x14ac:dyDescent="0.25">
      <c r="A8" s="1">
        <v>5</v>
      </c>
      <c r="B8" s="2" t="s">
        <v>24</v>
      </c>
      <c r="C8" s="2" t="s">
        <v>25</v>
      </c>
      <c r="D8" s="3">
        <v>691782800818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4" t="s">
        <v>61</v>
      </c>
      <c r="K8" s="4">
        <v>45658</v>
      </c>
      <c r="L8" s="1">
        <v>0</v>
      </c>
      <c r="M8" s="1">
        <v>0</v>
      </c>
      <c r="N8" s="1">
        <v>794664</v>
      </c>
      <c r="O8" s="1" t="s">
        <v>62</v>
      </c>
      <c r="P8" s="1">
        <v>130</v>
      </c>
      <c r="Q8" s="1" t="s">
        <v>63</v>
      </c>
      <c r="R8" s="1" t="s">
        <v>53</v>
      </c>
      <c r="S8" s="5" t="s">
        <v>31</v>
      </c>
      <c r="T8" s="5" t="s">
        <v>31</v>
      </c>
    </row>
    <row r="9" spans="1:20" ht="37.5" x14ac:dyDescent="0.25">
      <c r="A9" s="2">
        <v>6</v>
      </c>
      <c r="B9" s="2" t="s">
        <v>24</v>
      </c>
      <c r="C9" s="2" t="s">
        <v>25</v>
      </c>
      <c r="D9" s="3">
        <v>251856702752</v>
      </c>
      <c r="E9" s="3" t="s">
        <v>64</v>
      </c>
      <c r="F9" s="3" t="s">
        <v>65</v>
      </c>
      <c r="G9" s="3" t="s">
        <v>66</v>
      </c>
      <c r="H9" s="3" t="s">
        <v>67</v>
      </c>
      <c r="I9" s="3" t="s">
        <v>68</v>
      </c>
      <c r="J9" s="6">
        <v>45608</v>
      </c>
      <c r="K9" s="4" t="s">
        <v>31</v>
      </c>
      <c r="L9" s="1">
        <v>0</v>
      </c>
      <c r="M9" s="1">
        <v>0</v>
      </c>
      <c r="N9" s="1">
        <f t="shared" ref="N9:N10" si="1">L9+M9</f>
        <v>0</v>
      </c>
      <c r="O9" s="1" t="s">
        <v>69</v>
      </c>
      <c r="P9" s="1">
        <v>130</v>
      </c>
      <c r="Q9" s="1" t="s">
        <v>63</v>
      </c>
      <c r="R9" s="1" t="s">
        <v>70</v>
      </c>
      <c r="S9" s="5" t="s">
        <v>31</v>
      </c>
      <c r="T9" s="5" t="s">
        <v>31</v>
      </c>
    </row>
    <row r="10" spans="1:20" ht="56.25" x14ac:dyDescent="0.25">
      <c r="A10" s="1">
        <v>7</v>
      </c>
      <c r="B10" s="2" t="s">
        <v>24</v>
      </c>
      <c r="C10" s="2" t="s">
        <v>25</v>
      </c>
      <c r="D10" s="3">
        <v>102006555017</v>
      </c>
      <c r="E10" s="3" t="s">
        <v>71</v>
      </c>
      <c r="F10" s="3" t="s">
        <v>72</v>
      </c>
      <c r="G10" s="3" t="s">
        <v>73</v>
      </c>
      <c r="H10" s="3" t="s">
        <v>74</v>
      </c>
      <c r="I10" s="3" t="s">
        <v>75</v>
      </c>
      <c r="J10" s="4" t="s">
        <v>76</v>
      </c>
      <c r="K10" s="4" t="s">
        <v>31</v>
      </c>
      <c r="L10" s="1">
        <v>0</v>
      </c>
      <c r="M10" s="1">
        <v>0</v>
      </c>
      <c r="N10" s="1">
        <f t="shared" si="1"/>
        <v>0</v>
      </c>
      <c r="O10" s="1" t="s">
        <v>77</v>
      </c>
      <c r="P10" s="1">
        <v>130</v>
      </c>
      <c r="Q10" s="1" t="s">
        <v>63</v>
      </c>
      <c r="R10" s="1" t="s">
        <v>78</v>
      </c>
      <c r="S10" s="5" t="s">
        <v>31</v>
      </c>
      <c r="T10" s="5" t="s">
        <v>31</v>
      </c>
    </row>
    <row r="11" spans="1:20" ht="112.5" x14ac:dyDescent="0.25">
      <c r="A11" s="2">
        <v>8</v>
      </c>
      <c r="B11" s="2" t="s">
        <v>24</v>
      </c>
      <c r="C11" s="2" t="s">
        <v>25</v>
      </c>
      <c r="D11" s="3">
        <v>188008836152</v>
      </c>
      <c r="E11" s="3" t="s">
        <v>79</v>
      </c>
      <c r="F11" s="3" t="s">
        <v>80</v>
      </c>
      <c r="G11" s="3" t="s">
        <v>81</v>
      </c>
      <c r="H11" s="3" t="s">
        <v>82</v>
      </c>
      <c r="I11" s="3" t="s">
        <v>83</v>
      </c>
      <c r="J11" s="4">
        <v>45689</v>
      </c>
      <c r="K11" s="4" t="s">
        <v>84</v>
      </c>
      <c r="L11" s="1">
        <v>0</v>
      </c>
      <c r="M11" s="1">
        <v>82823</v>
      </c>
      <c r="N11" s="1">
        <v>82823</v>
      </c>
      <c r="O11" s="1" t="s">
        <v>77</v>
      </c>
      <c r="P11" s="1">
        <v>130</v>
      </c>
      <c r="Q11" s="1" t="s">
        <v>85</v>
      </c>
      <c r="R11" s="1" t="s">
        <v>86</v>
      </c>
      <c r="S11" s="5" t="s">
        <v>31</v>
      </c>
      <c r="T11" s="5" t="s">
        <v>31</v>
      </c>
    </row>
    <row r="12" spans="1:20" ht="56.25" x14ac:dyDescent="0.25">
      <c r="A12" s="1">
        <v>9</v>
      </c>
      <c r="B12" s="2" t="s">
        <v>24</v>
      </c>
      <c r="C12" s="2" t="s">
        <v>25</v>
      </c>
      <c r="D12" s="3" t="s">
        <v>31</v>
      </c>
      <c r="E12" s="3" t="s">
        <v>31</v>
      </c>
      <c r="F12" s="3" t="s">
        <v>31</v>
      </c>
      <c r="G12" s="3" t="s">
        <v>31</v>
      </c>
      <c r="H12" s="3" t="s">
        <v>31</v>
      </c>
      <c r="I12" s="3" t="s">
        <v>87</v>
      </c>
      <c r="J12" s="4" t="s">
        <v>88</v>
      </c>
      <c r="K12" s="4" t="s">
        <v>31</v>
      </c>
      <c r="L12" s="1">
        <v>0</v>
      </c>
      <c r="M12" s="1">
        <v>0</v>
      </c>
      <c r="N12" s="1">
        <f t="shared" ref="N12" si="2">L12+M12</f>
        <v>0</v>
      </c>
      <c r="O12" s="1" t="s">
        <v>89</v>
      </c>
      <c r="P12" s="1">
        <v>130</v>
      </c>
      <c r="Q12" s="1" t="s">
        <v>90</v>
      </c>
      <c r="R12" s="1" t="s">
        <v>91</v>
      </c>
      <c r="S12" s="5" t="s">
        <v>31</v>
      </c>
      <c r="T12" s="5" t="s">
        <v>31</v>
      </c>
    </row>
    <row r="13" spans="1:20" ht="37.5" x14ac:dyDescent="0.25">
      <c r="A13" s="2">
        <v>10</v>
      </c>
      <c r="B13" s="13" t="s">
        <v>24</v>
      </c>
      <c r="C13" s="2" t="s">
        <v>25</v>
      </c>
      <c r="D13" s="3" t="s">
        <v>31</v>
      </c>
      <c r="E13" s="3" t="s">
        <v>31</v>
      </c>
      <c r="F13" s="3" t="s">
        <v>31</v>
      </c>
      <c r="G13" s="3" t="s">
        <v>31</v>
      </c>
      <c r="H13" s="3" t="s">
        <v>31</v>
      </c>
      <c r="I13" s="3" t="s">
        <v>92</v>
      </c>
      <c r="J13" s="4">
        <v>45725</v>
      </c>
      <c r="K13" s="4" t="s">
        <v>31</v>
      </c>
      <c r="L13" s="1">
        <v>0</v>
      </c>
      <c r="M13" s="1">
        <v>0</v>
      </c>
      <c r="N13" s="1">
        <v>0</v>
      </c>
      <c r="O13" s="1" t="s">
        <v>93</v>
      </c>
      <c r="P13" s="5" t="s">
        <v>31</v>
      </c>
      <c r="Q13" s="3" t="s">
        <v>52</v>
      </c>
      <c r="R13" s="5" t="s">
        <v>31</v>
      </c>
      <c r="S13" s="3" t="s">
        <v>54</v>
      </c>
      <c r="T13" s="3" t="s">
        <v>55</v>
      </c>
    </row>
    <row r="14" spans="1:20" ht="37.5" x14ac:dyDescent="0.25">
      <c r="A14" s="1">
        <v>11</v>
      </c>
      <c r="B14" s="15" t="s">
        <v>24</v>
      </c>
      <c r="C14" s="12" t="s">
        <v>25</v>
      </c>
      <c r="D14" s="3">
        <v>311955294553</v>
      </c>
      <c r="E14" s="3" t="s">
        <v>94</v>
      </c>
      <c r="F14" s="3" t="s">
        <v>95</v>
      </c>
      <c r="G14" s="3" t="s">
        <v>96</v>
      </c>
      <c r="H14" s="3" t="s">
        <v>97</v>
      </c>
      <c r="I14" s="3" t="s">
        <v>98</v>
      </c>
      <c r="J14" s="4">
        <v>45727</v>
      </c>
      <c r="K14" s="4" t="s">
        <v>31</v>
      </c>
      <c r="L14" s="1">
        <v>0</v>
      </c>
      <c r="M14" s="1">
        <v>0</v>
      </c>
      <c r="N14" s="1">
        <v>0</v>
      </c>
      <c r="O14" s="1" t="s">
        <v>99</v>
      </c>
      <c r="P14" s="5" t="s">
        <v>31</v>
      </c>
      <c r="Q14" s="3" t="s">
        <v>100</v>
      </c>
      <c r="R14" s="3" t="s">
        <v>101</v>
      </c>
      <c r="S14" s="3" t="s">
        <v>102</v>
      </c>
      <c r="T14" s="3" t="s">
        <v>55</v>
      </c>
    </row>
    <row r="15" spans="1:20" ht="37.5" x14ac:dyDescent="0.25">
      <c r="A15" s="2">
        <v>12</v>
      </c>
      <c r="B15" s="15" t="s">
        <v>24</v>
      </c>
      <c r="C15" s="12" t="s">
        <v>25</v>
      </c>
      <c r="D15" s="3">
        <v>6111877453817</v>
      </c>
      <c r="E15" s="3" t="s">
        <v>109</v>
      </c>
      <c r="F15" s="3" t="s">
        <v>110</v>
      </c>
      <c r="G15" s="3" t="s">
        <v>111</v>
      </c>
      <c r="H15" s="4" t="s">
        <v>103</v>
      </c>
      <c r="I15" s="3" t="s">
        <v>112</v>
      </c>
      <c r="J15" s="4">
        <v>45739</v>
      </c>
      <c r="K15" s="3" t="s">
        <v>31</v>
      </c>
      <c r="L15" s="3">
        <v>0</v>
      </c>
      <c r="M15" s="3">
        <v>0</v>
      </c>
      <c r="N15" s="3">
        <v>0</v>
      </c>
      <c r="O15" s="3" t="s">
        <v>69</v>
      </c>
      <c r="P15" s="5" t="s">
        <v>31</v>
      </c>
      <c r="Q15" s="3" t="s">
        <v>107</v>
      </c>
      <c r="R15" s="4" t="s">
        <v>108</v>
      </c>
      <c r="S15" s="3" t="s">
        <v>105</v>
      </c>
      <c r="T15" s="3" t="s">
        <v>106</v>
      </c>
    </row>
    <row r="16" spans="1:20" ht="37.5" x14ac:dyDescent="0.25">
      <c r="A16" s="50">
        <v>13</v>
      </c>
      <c r="B16" s="30" t="s">
        <v>24</v>
      </c>
      <c r="C16" s="45" t="s">
        <v>25</v>
      </c>
      <c r="D16" s="46" t="s">
        <v>31</v>
      </c>
      <c r="E16" s="46" t="s">
        <v>128</v>
      </c>
      <c r="F16" s="46" t="s">
        <v>124</v>
      </c>
      <c r="G16" s="46" t="s">
        <v>125</v>
      </c>
      <c r="H16" s="46" t="s">
        <v>126</v>
      </c>
      <c r="I16" s="46" t="s">
        <v>127</v>
      </c>
      <c r="J16" s="47">
        <v>45743</v>
      </c>
      <c r="K16" s="47">
        <v>45755</v>
      </c>
      <c r="L16" s="46">
        <v>0</v>
      </c>
      <c r="M16" s="46">
        <v>374750</v>
      </c>
      <c r="N16" s="46">
        <v>374750</v>
      </c>
      <c r="O16" s="48" t="s">
        <v>122</v>
      </c>
      <c r="P16" s="49">
        <v>130</v>
      </c>
      <c r="Q16" s="46" t="s">
        <v>123</v>
      </c>
      <c r="R16" s="47" t="s">
        <v>172</v>
      </c>
      <c r="S16" s="46" t="s">
        <v>54</v>
      </c>
      <c r="T16" s="46" t="s">
        <v>55</v>
      </c>
    </row>
    <row r="17" spans="1:20" ht="37.5" x14ac:dyDescent="0.25">
      <c r="A17" s="2">
        <v>14</v>
      </c>
      <c r="B17" s="15" t="s">
        <v>24</v>
      </c>
      <c r="C17" s="12" t="s">
        <v>25</v>
      </c>
      <c r="D17" s="3" t="s">
        <v>31</v>
      </c>
      <c r="E17" s="3" t="s">
        <v>31</v>
      </c>
      <c r="F17" s="3" t="s">
        <v>31</v>
      </c>
      <c r="G17" s="3" t="s">
        <v>31</v>
      </c>
      <c r="H17" s="3" t="s">
        <v>31</v>
      </c>
      <c r="I17" s="3" t="s">
        <v>129</v>
      </c>
      <c r="J17" s="4">
        <v>45744</v>
      </c>
      <c r="K17" s="3" t="s">
        <v>31</v>
      </c>
      <c r="L17" s="3">
        <v>0</v>
      </c>
      <c r="M17" s="3">
        <v>0</v>
      </c>
      <c r="N17" s="3">
        <v>0</v>
      </c>
      <c r="O17" s="16" t="s">
        <v>130</v>
      </c>
      <c r="P17" s="5" t="s">
        <v>31</v>
      </c>
      <c r="Q17" s="1" t="s">
        <v>131</v>
      </c>
      <c r="R17" s="4" t="s">
        <v>108</v>
      </c>
      <c r="S17" s="3" t="s">
        <v>54</v>
      </c>
      <c r="T17" s="3" t="s">
        <v>55</v>
      </c>
    </row>
    <row r="18" spans="1:20" ht="37.5" x14ac:dyDescent="0.25">
      <c r="A18" s="1">
        <v>15</v>
      </c>
      <c r="B18" s="3" t="s">
        <v>24</v>
      </c>
      <c r="C18" s="3" t="s">
        <v>25</v>
      </c>
      <c r="D18" s="3">
        <v>681881544520</v>
      </c>
      <c r="E18" s="3" t="s">
        <v>132</v>
      </c>
      <c r="F18" s="3" t="s">
        <v>133</v>
      </c>
      <c r="G18" s="3" t="s">
        <v>134</v>
      </c>
      <c r="H18" s="3" t="s">
        <v>135</v>
      </c>
      <c r="I18" s="3" t="s">
        <v>136</v>
      </c>
      <c r="J18" s="4">
        <v>45746</v>
      </c>
      <c r="K18" s="3" t="s">
        <v>31</v>
      </c>
      <c r="L18" s="3">
        <v>0</v>
      </c>
      <c r="M18" s="3">
        <v>0</v>
      </c>
      <c r="N18" s="3">
        <v>0</v>
      </c>
      <c r="O18" s="16" t="s">
        <v>141</v>
      </c>
      <c r="P18" s="5" t="s">
        <v>31</v>
      </c>
      <c r="Q18" s="3" t="s">
        <v>104</v>
      </c>
      <c r="R18" s="3" t="s">
        <v>148</v>
      </c>
      <c r="S18" s="3" t="s">
        <v>137</v>
      </c>
      <c r="T18" s="3" t="s">
        <v>138</v>
      </c>
    </row>
    <row r="19" spans="1:20" ht="56.25" x14ac:dyDescent="0.25">
      <c r="A19" s="31">
        <v>16</v>
      </c>
      <c r="B19" s="30" t="s">
        <v>24</v>
      </c>
      <c r="C19" s="45" t="s">
        <v>25</v>
      </c>
      <c r="D19" s="46" t="s">
        <v>31</v>
      </c>
      <c r="E19" s="46" t="s">
        <v>31</v>
      </c>
      <c r="F19" s="46" t="s">
        <v>31</v>
      </c>
      <c r="G19" s="46" t="s">
        <v>31</v>
      </c>
      <c r="H19" s="46" t="s">
        <v>31</v>
      </c>
      <c r="I19" s="46" t="s">
        <v>139</v>
      </c>
      <c r="J19" s="47">
        <v>45746</v>
      </c>
      <c r="K19" s="47">
        <v>45755</v>
      </c>
      <c r="L19" s="46">
        <v>0</v>
      </c>
      <c r="M19" s="46">
        <v>391680</v>
      </c>
      <c r="N19" s="46">
        <v>391680</v>
      </c>
      <c r="O19" s="48" t="s">
        <v>142</v>
      </c>
      <c r="P19" s="49">
        <v>130</v>
      </c>
      <c r="Q19" s="46" t="s">
        <v>171</v>
      </c>
      <c r="R19" s="46" t="s">
        <v>170</v>
      </c>
      <c r="S19" s="46" t="s">
        <v>54</v>
      </c>
      <c r="T19" s="46" t="s">
        <v>55</v>
      </c>
    </row>
    <row r="20" spans="1:20" ht="37.5" x14ac:dyDescent="0.25">
      <c r="A20" s="1">
        <v>17</v>
      </c>
      <c r="B20" s="15" t="s">
        <v>24</v>
      </c>
      <c r="C20" s="15" t="s">
        <v>25</v>
      </c>
      <c r="D20" s="17" t="s">
        <v>31</v>
      </c>
      <c r="E20" s="17" t="s">
        <v>31</v>
      </c>
      <c r="F20" s="17" t="s">
        <v>31</v>
      </c>
      <c r="G20" s="17" t="s">
        <v>31</v>
      </c>
      <c r="H20" s="17" t="s">
        <v>31</v>
      </c>
      <c r="I20" s="17" t="s">
        <v>143</v>
      </c>
      <c r="J20" s="18">
        <v>45748</v>
      </c>
      <c r="K20" s="17" t="s">
        <v>31</v>
      </c>
      <c r="L20" s="17">
        <v>0</v>
      </c>
      <c r="M20" s="17">
        <v>0</v>
      </c>
      <c r="N20" s="17">
        <v>0</v>
      </c>
      <c r="O20" s="19" t="s">
        <v>144</v>
      </c>
      <c r="P20" s="14" t="s">
        <v>31</v>
      </c>
      <c r="Q20" s="17" t="s">
        <v>140</v>
      </c>
      <c r="R20" s="26" t="s">
        <v>148</v>
      </c>
      <c r="S20" s="17" t="s">
        <v>54</v>
      </c>
      <c r="T20" s="17" t="s">
        <v>55</v>
      </c>
    </row>
    <row r="21" spans="1:20" s="29" customFormat="1" ht="56.25" x14ac:dyDescent="0.25">
      <c r="A21" s="2">
        <v>18</v>
      </c>
      <c r="B21" s="25" t="s">
        <v>24</v>
      </c>
      <c r="C21" s="25" t="s">
        <v>25</v>
      </c>
      <c r="D21" s="26" t="s">
        <v>31</v>
      </c>
      <c r="E21" s="26" t="s">
        <v>31</v>
      </c>
      <c r="F21" s="26" t="s">
        <v>31</v>
      </c>
      <c r="G21" s="26" t="s">
        <v>31</v>
      </c>
      <c r="H21" s="26" t="s">
        <v>31</v>
      </c>
      <c r="I21" s="26" t="s">
        <v>145</v>
      </c>
      <c r="J21" s="27">
        <v>45748</v>
      </c>
      <c r="K21" s="17" t="s">
        <v>31</v>
      </c>
      <c r="L21" s="26">
        <v>0</v>
      </c>
      <c r="M21" s="17">
        <v>0</v>
      </c>
      <c r="N21" s="17">
        <v>0</v>
      </c>
      <c r="O21" s="28" t="s">
        <v>146</v>
      </c>
      <c r="P21" s="24" t="s">
        <v>31</v>
      </c>
      <c r="Q21" s="26" t="s">
        <v>147</v>
      </c>
      <c r="R21" s="26" t="s">
        <v>148</v>
      </c>
      <c r="S21" s="26" t="s">
        <v>54</v>
      </c>
      <c r="T21" s="26" t="s">
        <v>55</v>
      </c>
    </row>
    <row r="22" spans="1:20" s="29" customFormat="1" ht="57.75" customHeight="1" x14ac:dyDescent="0.25">
      <c r="A22" s="1">
        <v>19</v>
      </c>
      <c r="B22" s="21" t="s">
        <v>24</v>
      </c>
      <c r="C22" s="21" t="s">
        <v>25</v>
      </c>
      <c r="D22" s="20">
        <v>211936846866</v>
      </c>
      <c r="E22" s="20" t="s">
        <v>150</v>
      </c>
      <c r="F22" s="20" t="s">
        <v>151</v>
      </c>
      <c r="G22" s="20" t="s">
        <v>150</v>
      </c>
      <c r="H22" s="20" t="s">
        <v>151</v>
      </c>
      <c r="I22" s="20" t="s">
        <v>152</v>
      </c>
      <c r="J22" s="22">
        <v>45751</v>
      </c>
      <c r="K22" s="20" t="s">
        <v>31</v>
      </c>
      <c r="L22" s="20">
        <v>0</v>
      </c>
      <c r="M22" s="20">
        <v>0</v>
      </c>
      <c r="N22" s="20">
        <v>0</v>
      </c>
      <c r="O22" s="20" t="s">
        <v>153</v>
      </c>
      <c r="P22" s="23" t="s">
        <v>31</v>
      </c>
      <c r="Q22" s="20" t="s">
        <v>149</v>
      </c>
      <c r="R22" s="20" t="s">
        <v>108</v>
      </c>
      <c r="S22" s="20" t="s">
        <v>154</v>
      </c>
      <c r="T22" s="20" t="s">
        <v>155</v>
      </c>
    </row>
    <row r="23" spans="1:20" s="29" customFormat="1" ht="37.5" x14ac:dyDescent="0.25">
      <c r="A23" s="2">
        <v>20</v>
      </c>
      <c r="B23" s="21" t="s">
        <v>24</v>
      </c>
      <c r="C23" s="21" t="s">
        <v>25</v>
      </c>
      <c r="D23" s="20">
        <v>671882276348</v>
      </c>
      <c r="E23" s="20" t="s">
        <v>156</v>
      </c>
      <c r="F23" s="20" t="s">
        <v>157</v>
      </c>
      <c r="G23" s="20" t="s">
        <v>158</v>
      </c>
      <c r="H23" s="20" t="s">
        <v>159</v>
      </c>
      <c r="I23" s="20" t="s">
        <v>160</v>
      </c>
      <c r="J23" s="22">
        <v>45754</v>
      </c>
      <c r="K23" s="20" t="s">
        <v>31</v>
      </c>
      <c r="L23" s="20">
        <v>0</v>
      </c>
      <c r="M23" s="20">
        <v>0</v>
      </c>
      <c r="N23" s="20">
        <v>0</v>
      </c>
      <c r="O23" s="20" t="s">
        <v>161</v>
      </c>
      <c r="P23" s="20" t="s">
        <v>31</v>
      </c>
      <c r="Q23" s="20" t="s">
        <v>162</v>
      </c>
      <c r="R23" s="20" t="s">
        <v>108</v>
      </c>
      <c r="S23" s="20" t="s">
        <v>163</v>
      </c>
      <c r="T23" s="20" t="s">
        <v>164</v>
      </c>
    </row>
    <row r="24" spans="1:20" s="29" customFormat="1" ht="37.5" x14ac:dyDescent="0.25">
      <c r="A24" s="32">
        <v>21</v>
      </c>
      <c r="B24" s="33" t="s">
        <v>24</v>
      </c>
      <c r="C24" s="33" t="s">
        <v>25</v>
      </c>
      <c r="D24" s="34" t="s">
        <v>31</v>
      </c>
      <c r="E24" s="34" t="s">
        <v>166</v>
      </c>
      <c r="F24" s="34" t="s">
        <v>31</v>
      </c>
      <c r="G24" s="34" t="s">
        <v>31</v>
      </c>
      <c r="H24" s="34" t="s">
        <v>31</v>
      </c>
      <c r="I24" s="34" t="s">
        <v>167</v>
      </c>
      <c r="J24" s="35" t="s">
        <v>168</v>
      </c>
      <c r="K24" s="35" t="s">
        <v>31</v>
      </c>
      <c r="L24" s="34">
        <v>0</v>
      </c>
      <c r="M24" s="34">
        <v>0</v>
      </c>
      <c r="N24" s="34">
        <v>0</v>
      </c>
      <c r="O24" s="34" t="s">
        <v>169</v>
      </c>
      <c r="P24" s="34" t="s">
        <v>31</v>
      </c>
      <c r="Q24" s="34" t="s">
        <v>107</v>
      </c>
      <c r="R24" s="34" t="s">
        <v>108</v>
      </c>
      <c r="S24" s="34" t="s">
        <v>54</v>
      </c>
      <c r="T24" s="34" t="s">
        <v>55</v>
      </c>
    </row>
    <row r="25" spans="1:20" x14ac:dyDescent="0.25">
      <c r="J25" s="7"/>
      <c r="K25" s="7"/>
      <c r="R25" s="8"/>
    </row>
    <row r="26" spans="1:20" x14ac:dyDescent="0.25">
      <c r="J26" s="7"/>
      <c r="K26" s="7"/>
      <c r="R26" s="8"/>
    </row>
    <row r="27" spans="1:20" x14ac:dyDescent="0.25">
      <c r="J27" s="7"/>
      <c r="K27" s="7"/>
      <c r="R27" s="8"/>
    </row>
    <row r="28" spans="1:20" x14ac:dyDescent="0.25">
      <c r="J28" s="7"/>
      <c r="K28" s="7"/>
      <c r="R28" s="8"/>
    </row>
    <row r="29" spans="1:20" x14ac:dyDescent="0.25">
      <c r="J29" s="7"/>
      <c r="K29" s="7"/>
      <c r="R29" s="8"/>
    </row>
    <row r="30" spans="1:20" x14ac:dyDescent="0.25">
      <c r="J30" s="7"/>
      <c r="K30" s="7"/>
      <c r="R30" s="8"/>
    </row>
    <row r="31" spans="1:20" x14ac:dyDescent="0.25">
      <c r="J31" s="7"/>
      <c r="K31" s="7"/>
      <c r="R31" s="8"/>
    </row>
    <row r="32" spans="1:20" x14ac:dyDescent="0.25">
      <c r="J32" s="7"/>
      <c r="K32" s="7"/>
      <c r="R32" s="8"/>
    </row>
    <row r="33" spans="10:18" x14ac:dyDescent="0.25">
      <c r="J33" s="7"/>
      <c r="K33" s="7"/>
      <c r="R33" s="8"/>
    </row>
    <row r="34" spans="10:18" x14ac:dyDescent="0.25">
      <c r="J34" s="7"/>
      <c r="K34" s="7"/>
      <c r="R34" s="8"/>
    </row>
    <row r="35" spans="10:18" x14ac:dyDescent="0.25">
      <c r="J35" s="7"/>
      <c r="K35" s="7"/>
      <c r="R35" s="8"/>
    </row>
    <row r="36" spans="10:18" x14ac:dyDescent="0.25">
      <c r="J36" s="7"/>
      <c r="K36" s="7"/>
      <c r="R36" s="8"/>
    </row>
    <row r="37" spans="10:18" x14ac:dyDescent="0.25">
      <c r="J37" s="7"/>
      <c r="K37" s="7"/>
      <c r="R37" s="8"/>
    </row>
    <row r="38" spans="10:18" x14ac:dyDescent="0.25">
      <c r="J38" s="7"/>
      <c r="K38" s="7"/>
      <c r="R38" s="8"/>
    </row>
    <row r="39" spans="10:18" x14ac:dyDescent="0.25">
      <c r="J39" s="7"/>
      <c r="K39" s="7"/>
      <c r="R39" s="8"/>
    </row>
    <row r="40" spans="10:18" x14ac:dyDescent="0.25">
      <c r="J40" s="7"/>
      <c r="K40" s="7"/>
      <c r="R40" s="8"/>
    </row>
    <row r="41" spans="10:18" x14ac:dyDescent="0.25">
      <c r="J41" s="7"/>
      <c r="K41" s="7"/>
      <c r="R41" s="8"/>
    </row>
    <row r="42" spans="10:18" x14ac:dyDescent="0.25">
      <c r="J42" s="7"/>
      <c r="K42" s="7"/>
      <c r="R42" s="8"/>
    </row>
    <row r="43" spans="10:18" x14ac:dyDescent="0.25">
      <c r="J43" s="7"/>
      <c r="K43" s="7"/>
      <c r="R43" s="8"/>
    </row>
    <row r="44" spans="10:18" x14ac:dyDescent="0.25">
      <c r="J44" s="7"/>
      <c r="K44" s="7"/>
      <c r="R44" s="8"/>
    </row>
    <row r="45" spans="10:18" x14ac:dyDescent="0.25">
      <c r="J45" s="7"/>
      <c r="K45" s="7"/>
      <c r="R45" s="8"/>
    </row>
    <row r="46" spans="10:18" x14ac:dyDescent="0.25">
      <c r="J46" s="7"/>
      <c r="K46" s="7"/>
      <c r="R46" s="8"/>
    </row>
    <row r="47" spans="10:18" x14ac:dyDescent="0.25">
      <c r="J47" s="7"/>
      <c r="K47" s="7"/>
      <c r="R47" s="8"/>
    </row>
    <row r="48" spans="10:18" x14ac:dyDescent="0.25">
      <c r="J48" s="7"/>
      <c r="K48" s="7"/>
      <c r="R48" s="8"/>
    </row>
    <row r="49" spans="10:18" x14ac:dyDescent="0.25">
      <c r="J49" s="7"/>
      <c r="K49" s="7"/>
      <c r="R49" s="8"/>
    </row>
    <row r="50" spans="10:18" x14ac:dyDescent="0.25">
      <c r="J50" s="7"/>
      <c r="K50" s="7"/>
      <c r="R50" s="8"/>
    </row>
    <row r="51" spans="10:18" x14ac:dyDescent="0.25">
      <c r="J51" s="7"/>
      <c r="K51" s="7"/>
      <c r="R51" s="8"/>
    </row>
    <row r="52" spans="10:18" x14ac:dyDescent="0.25">
      <c r="J52" s="7"/>
      <c r="K52" s="7"/>
      <c r="R52" s="8"/>
    </row>
    <row r="53" spans="10:18" x14ac:dyDescent="0.25">
      <c r="J53" s="7"/>
      <c r="K53" s="7"/>
      <c r="R53" s="8"/>
    </row>
    <row r="54" spans="10:18" x14ac:dyDescent="0.25">
      <c r="J54" s="7"/>
      <c r="K54" s="7"/>
      <c r="R54" s="8"/>
    </row>
    <row r="55" spans="10:18" x14ac:dyDescent="0.25">
      <c r="J55" s="7"/>
      <c r="K55" s="7"/>
      <c r="R55" s="8"/>
    </row>
    <row r="56" spans="10:18" x14ac:dyDescent="0.25">
      <c r="J56" s="7"/>
      <c r="K56" s="7"/>
      <c r="R56" s="8"/>
    </row>
    <row r="57" spans="10:18" x14ac:dyDescent="0.25">
      <c r="J57" s="7"/>
      <c r="K57" s="7"/>
      <c r="R57" s="8"/>
    </row>
    <row r="58" spans="10:18" x14ac:dyDescent="0.25">
      <c r="J58" s="7"/>
      <c r="K58" s="7"/>
      <c r="R58" s="8"/>
    </row>
    <row r="59" spans="10:18" x14ac:dyDescent="0.25">
      <c r="J59" s="7"/>
      <c r="K59" s="7"/>
      <c r="R59" s="8"/>
    </row>
    <row r="60" spans="10:18" x14ac:dyDescent="0.25">
      <c r="J60" s="7"/>
      <c r="K60" s="7"/>
      <c r="R60" s="8"/>
    </row>
    <row r="61" spans="10:18" x14ac:dyDescent="0.25">
      <c r="J61" s="7"/>
      <c r="K61" s="7"/>
      <c r="R61" s="8"/>
    </row>
    <row r="62" spans="10:18" x14ac:dyDescent="0.25">
      <c r="J62" s="7"/>
      <c r="K62" s="7"/>
      <c r="R62" s="8"/>
    </row>
    <row r="63" spans="10:18" x14ac:dyDescent="0.25">
      <c r="J63" s="7"/>
      <c r="K63" s="7"/>
      <c r="R63" s="8"/>
    </row>
    <row r="64" spans="10:18" x14ac:dyDescent="0.25">
      <c r="J64" s="7"/>
      <c r="K64" s="7"/>
      <c r="R64" s="8"/>
    </row>
    <row r="65" spans="10:18" x14ac:dyDescent="0.25">
      <c r="J65" s="7"/>
      <c r="K65" s="7"/>
      <c r="R65" s="8"/>
    </row>
    <row r="66" spans="10:18" x14ac:dyDescent="0.25">
      <c r="J66" s="7"/>
      <c r="K66" s="7"/>
      <c r="R66" s="8"/>
    </row>
    <row r="67" spans="10:18" x14ac:dyDescent="0.25">
      <c r="J67" s="7"/>
      <c r="K67" s="7"/>
      <c r="R67" s="8"/>
    </row>
    <row r="68" spans="10:18" x14ac:dyDescent="0.25">
      <c r="J68" s="7"/>
      <c r="K68" s="7"/>
      <c r="R68" s="8"/>
    </row>
    <row r="69" spans="10:18" x14ac:dyDescent="0.25">
      <c r="J69" s="7"/>
      <c r="K69" s="7"/>
      <c r="R69" s="8"/>
    </row>
    <row r="70" spans="10:18" x14ac:dyDescent="0.25">
      <c r="J70" s="7"/>
      <c r="K70" s="7"/>
      <c r="R70" s="8"/>
    </row>
    <row r="71" spans="10:18" x14ac:dyDescent="0.25">
      <c r="J71" s="7"/>
      <c r="K71" s="7"/>
      <c r="R71" s="8"/>
    </row>
    <row r="72" spans="10:18" x14ac:dyDescent="0.25">
      <c r="J72" s="7"/>
      <c r="K72" s="7"/>
      <c r="R72" s="8"/>
    </row>
    <row r="73" spans="10:18" x14ac:dyDescent="0.25">
      <c r="J73" s="7"/>
      <c r="K73" s="7"/>
      <c r="R73" s="8"/>
    </row>
    <row r="74" spans="10:18" x14ac:dyDescent="0.25">
      <c r="J74" s="7"/>
      <c r="K74" s="7"/>
      <c r="R74" s="8"/>
    </row>
    <row r="75" spans="10:18" x14ac:dyDescent="0.25">
      <c r="J75" s="7"/>
      <c r="K75" s="7"/>
      <c r="R75" s="8"/>
    </row>
    <row r="76" spans="10:18" x14ac:dyDescent="0.25">
      <c r="J76" s="7"/>
      <c r="K76" s="7"/>
      <c r="R76" s="8"/>
    </row>
    <row r="77" spans="10:18" x14ac:dyDescent="0.25">
      <c r="J77" s="7"/>
      <c r="K77" s="7"/>
      <c r="R77" s="8"/>
    </row>
    <row r="78" spans="10:18" x14ac:dyDescent="0.25">
      <c r="J78" s="7"/>
      <c r="K78" s="7"/>
      <c r="R78" s="8"/>
    </row>
  </sheetData>
  <mergeCells count="13">
    <mergeCell ref="P2:P3"/>
    <mergeCell ref="Q2:Q3"/>
    <mergeCell ref="R2:R3"/>
    <mergeCell ref="S2:T2"/>
    <mergeCell ref="A1:T1"/>
    <mergeCell ref="A2:A3"/>
    <mergeCell ref="B2:B3"/>
    <mergeCell ref="C2:C3"/>
    <mergeCell ref="D2:F2"/>
    <mergeCell ref="G2:H2"/>
    <mergeCell ref="I2:K2"/>
    <mergeCell ref="L2:N2"/>
    <mergeCell ref="O2:O3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opLeftCell="B1" workbookViewId="0">
      <selection activeCell="E5" sqref="E5"/>
    </sheetView>
  </sheetViews>
  <sheetFormatPr defaultColWidth="14.42578125" defaultRowHeight="15" x14ac:dyDescent="0.25"/>
  <cols>
    <col min="1" max="1" width="8.7109375" customWidth="1"/>
    <col min="2" max="2" width="17" customWidth="1"/>
    <col min="3" max="3" width="20.7109375" customWidth="1"/>
    <col min="4" max="4" width="12.28515625" customWidth="1"/>
    <col min="5" max="5" width="14.7109375" customWidth="1"/>
    <col min="6" max="6" width="20" customWidth="1"/>
    <col min="7" max="7" width="15.42578125" customWidth="1"/>
    <col min="8" max="8" width="15" customWidth="1"/>
    <col min="9" max="9" width="15.42578125" customWidth="1"/>
    <col min="10" max="11" width="8.7109375" customWidth="1"/>
  </cols>
  <sheetData>
    <row r="1" spans="1:9" ht="84" x14ac:dyDescent="0.25">
      <c r="A1" s="9" t="s">
        <v>113</v>
      </c>
      <c r="B1" s="9" t="s">
        <v>114</v>
      </c>
      <c r="C1" s="9" t="s">
        <v>115</v>
      </c>
      <c r="D1" s="9" t="s">
        <v>116</v>
      </c>
      <c r="E1" s="9" t="s">
        <v>117</v>
      </c>
      <c r="F1" s="9" t="s">
        <v>118</v>
      </c>
      <c r="G1" s="9" t="s">
        <v>119</v>
      </c>
      <c r="H1" s="9" t="s">
        <v>120</v>
      </c>
      <c r="I1" s="9" t="s">
        <v>121</v>
      </c>
    </row>
    <row r="2" spans="1:9" ht="42" x14ac:dyDescent="0.25">
      <c r="A2" s="9">
        <v>1</v>
      </c>
      <c r="B2" s="9" t="s">
        <v>24</v>
      </c>
      <c r="C2" s="9" t="s">
        <v>25</v>
      </c>
      <c r="D2" s="9">
        <v>621</v>
      </c>
      <c r="E2" s="9">
        <v>71</v>
      </c>
      <c r="F2" s="9">
        <v>1</v>
      </c>
      <c r="G2" s="9">
        <v>1</v>
      </c>
      <c r="H2" s="9">
        <v>2</v>
      </c>
      <c r="I2" s="9">
        <v>7.66</v>
      </c>
    </row>
    <row r="9" spans="1:9" x14ac:dyDescent="0.25">
      <c r="F9" s="4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dell</cp:lastModifiedBy>
  <dcterms:created xsi:type="dcterms:W3CDTF">2025-03-06T05:17:27Z</dcterms:created>
  <dcterms:modified xsi:type="dcterms:W3CDTF">2025-04-08T15:38:59Z</dcterms:modified>
</cp:coreProperties>
</file>