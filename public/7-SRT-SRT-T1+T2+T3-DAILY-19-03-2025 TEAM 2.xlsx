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<sst xmlns="http://schemas.openxmlformats.org/spreadsheetml/2006/main" count="366" uniqueCount="182">
  <si>
    <t xml:space="preserve">DETAIL REPORT OF REVENUE RECEIPT BY MOBILE SQUAD DIV-7 SURAT DATE 19/03/2025</t>
  </si>
  <si>
    <t xml:space="preserve">SR.NO</t>
  </si>
  <si>
    <t xml:space="preserve">TEAM OF MOBILE SQUAD</t>
  </si>
  <si>
    <t xml:space="preserve">NAME OF STATE TAX OFFICER</t>
  </si>
  <si>
    <t xml:space="preserve">SUPPLIER DETAIL</t>
  </si>
  <si>
    <t xml:space="preserve">RECIPIENT DETAILS</t>
  </si>
  <si>
    <t xml:space="preserve">DETAINTION DETAIL</t>
  </si>
  <si>
    <t xml:space="preserve">RECEIPT OF TAX &amp; PENALTY (CGST+SGST+IGST)</t>
  </si>
  <si>
    <t xml:space="preserve">COMMODITY</t>
  </si>
  <si>
    <t xml:space="preserve">UNDER WHICH SECTION</t>
  </si>
  <si>
    <t xml:space="preserve">REASON FOR DETAINTION</t>
  </si>
  <si>
    <t xml:space="preserve">REMARKS </t>
  </si>
  <si>
    <t xml:space="preserve">TRANSPORTER DETAILS</t>
  </si>
  <si>
    <t xml:space="preserve">E WAY BILL NO (IF AVAILABLE)</t>
  </si>
  <si>
    <t xml:space="preserve">NAME OF SUPPLIER</t>
  </si>
  <si>
    <t xml:space="preserve">GSTN NO.</t>
  </si>
  <si>
    <t xml:space="preserve">NAME OF RECIPIENT</t>
  </si>
  <si>
    <t xml:space="preserve">VEHICLE NO.</t>
  </si>
  <si>
    <t xml:space="preserve">DETAINTION DATE</t>
  </si>
  <si>
    <t xml:space="preserve">RELEASED DATE</t>
  </si>
  <si>
    <t xml:space="preserve">TAX</t>
  </si>
  <si>
    <t xml:space="preserve">PENALTY + OTHERS</t>
  </si>
  <si>
    <t xml:space="preserve">TOTAL</t>
  </si>
  <si>
    <t xml:space="preserve">TRANSPORTER NAME</t>
  </si>
  <si>
    <t xml:space="preserve">TRANSPORTER ID</t>
  </si>
  <si>
    <t xml:space="preserve">Team 2, DIV-7, Surat</t>
  </si>
  <si>
    <t xml:space="preserve">J V ACHARYA</t>
  </si>
  <si>
    <t xml:space="preserve">NA</t>
  </si>
  <si>
    <t xml:space="preserve">Navkar Enterprise</t>
  </si>
  <si>
    <t xml:space="preserve">24AAEHJ5631C1ZQ</t>
  </si>
  <si>
    <t xml:space="preserve">GJ27T5042</t>
  </si>
  <si>
    <t xml:space="preserve">31/12/2020</t>
  </si>
  <si>
    <t xml:space="preserve">2106, 
2403 Pan Masala  </t>
  </si>
  <si>
    <t xml:space="preserve">The goods in movement is without any valid document</t>
  </si>
  <si>
    <t xml:space="preserve">માલની હરાજી થયેલ છે પરંતુ વાહન પેડિંગ છે</t>
  </si>
  <si>
    <t xml:space="preserve">GJ07YY6723</t>
  </si>
  <si>
    <t xml:space="preserve">2106, 
2403 Pan Masala </t>
  </si>
  <si>
    <t xml:space="preserve">A Z ENTERPRISE</t>
  </si>
  <si>
    <t xml:space="preserve">24CDUPV4481M1ZI</t>
  </si>
  <si>
    <t xml:space="preserve">DAGE ENTERPRISE</t>
  </si>
  <si>
    <t xml:space="preserve">27CFCPD0217F1Z5</t>
  </si>
  <si>
    <t xml:space="preserve">GJ04X6032</t>
  </si>
  <si>
    <t xml:space="preserve">25/09/2021</t>
  </si>
  <si>
    <t xml:space="preserve">  7404 COPPER SCRAP </t>
  </si>
  <si>
    <t xml:space="preserve">COMMODITY MISMATVH AND SUSPICIOUS TRANSACTION</t>
  </si>
  <si>
    <t xml:space="preserve">K P ENTERPRISE</t>
  </si>
  <si>
    <t xml:space="preserve">24DFPPK3435E1ZI</t>
  </si>
  <si>
    <t xml:space="preserve">SHREE DHANLAXMI METAL INDUSTRIES</t>
  </si>
  <si>
    <t xml:space="preserve">24AEBPK5633A1Z5</t>
  </si>
  <si>
    <t xml:space="preserve">MH04GC1557</t>
  </si>
  <si>
    <t xml:space="preserve">20/11/2021</t>
  </si>
  <si>
    <t xml:space="preserve"> 7404 COPPER SCRAP  </t>
  </si>
  <si>
    <t xml:space="preserve">Suspicious trasaction as e way bill cancelled on dt.17/11/2021 Time 08:33PM</t>
  </si>
  <si>
    <r>
      <rPr>
        <sz val="14"/>
        <color rgb="FF000000"/>
        <rFont val="Noto Sans Devanagari"/>
        <family val="2"/>
        <charset val="1"/>
      </rPr>
      <t xml:space="preserve">માલ  સહિત વાહન પેડિંગ છે </t>
    </r>
    <r>
      <rPr>
        <sz val="14"/>
        <color rgb="FF000000"/>
        <rFont val="Calibri"/>
        <family val="2"/>
        <charset val="1"/>
      </rPr>
      <t xml:space="preserve">(</t>
    </r>
    <r>
      <rPr>
        <sz val="14"/>
        <color rgb="FF000000"/>
        <rFont val="Noto Sans Devanagari"/>
        <family val="2"/>
        <charset val="1"/>
      </rPr>
      <t xml:space="preserve">માલ બદલી તથા ચોરી થયેલ છે</t>
    </r>
    <r>
      <rPr>
        <sz val="14"/>
        <color rgb="FF000000"/>
        <rFont val="Calibri"/>
        <family val="2"/>
        <charset val="1"/>
      </rPr>
      <t xml:space="preserve">. FIR </t>
    </r>
    <r>
      <rPr>
        <sz val="14"/>
        <color rgb="FF000000"/>
        <rFont val="Noto Sans Devanagari"/>
        <family val="2"/>
        <charset val="1"/>
      </rPr>
      <t xml:space="preserve">નોંધાવેલ છે</t>
    </r>
    <r>
      <rPr>
        <sz val="14"/>
        <color rgb="FF000000"/>
        <rFont val="Calibri"/>
        <family val="2"/>
        <charset val="1"/>
      </rPr>
      <t xml:space="preserve">.)</t>
    </r>
  </si>
  <si>
    <t xml:space="preserve">RUDRA ENTERPRISE</t>
  </si>
  <si>
    <t xml:space="preserve">24BNBPC1216K1ZL</t>
  </si>
  <si>
    <t xml:space="preserve">GJ04AW8518</t>
  </si>
  <si>
    <t xml:space="preserve">Prima facie seller M/S Rudra enterprise was found to be suspicious. On further investigation it was found that there is no business activity going on at the principal place of business declared by M/S Rudra enterprise at Ahmedabad, Gujarat. It seems registratiration obtained by M/S Rudra enterprise is for fraudulent means and bogus billing. Hence seller M/S Rudra enterprise needs to prove place of active business and genuineness.</t>
  </si>
  <si>
    <r>
      <rPr>
        <sz val="14"/>
        <color rgb="FF000000"/>
        <rFont val="Noto Sans Devanagari"/>
        <family val="2"/>
        <charset val="1"/>
      </rPr>
      <t xml:space="preserve">વાહનનો ફાઈન ભરીને વાહન મુક્ત કરાવેલ છે</t>
    </r>
    <r>
      <rPr>
        <sz val="14"/>
        <color rgb="FF000000"/>
        <rFont val="Calibri"/>
        <family val="2"/>
        <charset val="1"/>
      </rPr>
      <t xml:space="preserve">. </t>
    </r>
    <r>
      <rPr>
        <sz val="14"/>
        <color rgb="FF000000"/>
        <rFont val="Noto Sans Devanagari"/>
        <family val="2"/>
        <charset val="1"/>
      </rPr>
      <t xml:space="preserve">માલ ઉતારી લીધેલ છે</t>
    </r>
    <r>
      <rPr>
        <sz val="14"/>
        <color rgb="FF000000"/>
        <rFont val="Calibri"/>
        <family val="2"/>
        <charset val="1"/>
      </rPr>
      <t xml:space="preserve">. </t>
    </r>
    <r>
      <rPr>
        <sz val="14"/>
        <color rgb="FF000000"/>
        <rFont val="Noto Sans Devanagari"/>
        <family val="2"/>
        <charset val="1"/>
      </rPr>
      <t xml:space="preserve">વેપારીશ્રી દ્વારા અપીલ ફાઇલ કરેલ છે</t>
    </r>
    <r>
      <rPr>
        <sz val="14"/>
        <color rgb="FF000000"/>
        <rFont val="Calibri"/>
        <family val="2"/>
        <charset val="1"/>
      </rPr>
      <t xml:space="preserve">.</t>
    </r>
  </si>
  <si>
    <t xml:space="preserve">SHAH  ENTERPRISE </t>
  </si>
  <si>
    <t xml:space="preserve">24GPBPS4052E1Z1</t>
  </si>
  <si>
    <t xml:space="preserve">NATIONAL  INDIA  REFINERY </t>
  </si>
  <si>
    <t xml:space="preserve">24ABBPJ5375K1ZK</t>
  </si>
  <si>
    <t xml:space="preserve">GJ15AV1847</t>
  </si>
  <si>
    <t xml:space="preserve">26/12/2021</t>
  </si>
  <si>
    <t xml:space="preserve">(1)	Primarily GJ-15-AV-1847 with eway bill no 6513 6599 2080 dated 22/12/2021 shows  validity for movement of goods from ahmedabad to surat but as per RFID tracking system vehicle has moved from BOCHASAN on 24th december 2021 at 01:39 am and continuously moved to SURAT. This route is not for vehicle movement from Ahmedabad to Surat but for the vehicles coming from BHAVNAGAR Gujarat. Hence there is strong suspicion of movement of goods from BHAVNAGAR TO SURAT and not from Ahmedabad. Only bills were provided by SHAH ENTERPRISE and goods were purchased from somewhere else. These bills were purchased by NATIONAL INDIA REFINERY to wrongfully avail input tax credit and to evade tax by not paying tax through reverse charge mechanism which should be paid in case of purchase from unregistered person.
(2)	 As per e way bill system data these goods were purchased by SHAH ENTERPRISE Ahmedabad from AARADHNA ENTERPRISE Ahmedabad GSTN 24CJHPD5135K1ZB. Vehicle no GJ-15-AV-1847 was intercepted on 24th December 2021 and is stationed at SOHAM PARKING, Kadodara Surat since the date of interception. Surprisingly the same AARADHNA ENTERPRISE Ahmedabad GSTN 24CJHPD5135K1ZB has generated another e way bill in the same vehicle GJ15-AV-1847 Eway bill no 6713 6718 7677 showing movement of 10120 kg aluminum casting scrap. When vehicle is intercepted and stationed at surat, it is impossible for the e way bill no 6713 6718 7677 to be true and correct in nature. Hence all transactions of AARADHNA ENTERPRISE are suspicious including the one done with SHAH ENTERPRISE. 
(3)	Seller SHAH ENTERPRISE SHOP-G/A/9,, S.NO-254 SAROVAR AVENUE, NEAR HANUMAN MANDIR, NAROL, AHEMDABAD, Ahmedabad, Gujarat, 382405 GSTN 24GPBPS4052E1Z1 has declared commodity of business as TOYS HSN 95 and 9503 in registration application But since its inception i.e. November 2021, 18 e way bills of inward supply are available in the system, all of scrap. Similarly since its inception i.e. November 2021, 11 e way bills of outward supply are available in system, all of scrap.  It seems declaration of commodities was done with intention to evade scrutiny from department. 
Hence dealers SHAH Enterprise 24GPBPS4052E1Z1 and NATIONAL INDIA REFINERY 24ABBPJ5375K1ZK needs to prove genuineness of transactions and their business.
</t>
  </si>
  <si>
    <t xml:space="preserve">URP</t>
  </si>
  <si>
    <t xml:space="preserve">GJ04X5094</t>
  </si>
  <si>
    <t xml:space="preserve">No bill e-Waybill produced at the time to interception</t>
  </si>
  <si>
    <t xml:space="preserve">GJ04AT6317</t>
  </si>
  <si>
    <t xml:space="preserve"> 76011010 ALLUMINIUM INGOT </t>
  </si>
  <si>
    <t xml:space="preserve">FOR FURTHER VERIFICATION </t>
  </si>
  <si>
    <r>
      <rPr>
        <sz val="14"/>
        <color rgb="FF000000"/>
        <rFont val="Noto Sans Devanagari"/>
        <family val="2"/>
        <charset val="1"/>
      </rPr>
      <t xml:space="preserve">માલ  સહિત વાહન પેડિંગ છે</t>
    </r>
    <r>
      <rPr>
        <sz val="14"/>
        <color rgb="FF000000"/>
        <rFont val="Calibri"/>
        <family val="2"/>
        <charset val="1"/>
      </rPr>
      <t xml:space="preserve">. CASE PENDING IN HIGH COURT</t>
    </r>
  </si>
  <si>
    <t xml:space="preserve">RJ14GJ2004</t>
  </si>
  <si>
    <t xml:space="preserve">23/08/2024</t>
  </si>
  <si>
    <t xml:space="preserve">  240110 MIXED GOODS + TOBACCO </t>
  </si>
  <si>
    <t xml:space="preserve">AUCTION</t>
  </si>
  <si>
    <t xml:space="preserve">(1) GSTIN : 24ADHPA8493P1ZDHAS CAME FORWARD AND MADE PAYMENT OF RS.340880/-WITH CHALLAN : 241224002120787 AND SBI CHALLAN OF 166000/- on date.20-12-2024</t>
  </si>
  <si>
    <t xml:space="preserve">GJ09AV8188</t>
  </si>
  <si>
    <t xml:space="preserve">17/09/2024</t>
  </si>
  <si>
    <t xml:space="preserve">  7204M S SCRAP </t>
  </si>
  <si>
    <t xml:space="preserve">Inward Supply Chain Found Suspicious</t>
  </si>
  <si>
    <r>
      <rPr>
        <sz val="14"/>
        <color rgb="FF000000"/>
        <rFont val="Calibri"/>
        <family val="2"/>
        <charset val="1"/>
      </rPr>
      <t xml:space="preserve">SCA No: 14630 of 2024 </t>
    </r>
    <r>
      <rPr>
        <sz val="14"/>
        <color rgb="FF000000"/>
        <rFont val="Noto Sans Devanagari"/>
        <family val="2"/>
        <charset val="1"/>
      </rPr>
      <t xml:space="preserve">માં આપેલ નિર્દેશ અન્વયે </t>
    </r>
    <r>
      <rPr>
        <sz val="14"/>
        <color rgb="FF000000"/>
        <rFont val="Calibri"/>
        <family val="2"/>
        <charset val="1"/>
      </rPr>
      <t xml:space="preserve">200 % </t>
    </r>
    <r>
      <rPr>
        <sz val="14"/>
        <color rgb="FF000000"/>
        <rFont val="Noto Sans Devanagari"/>
        <family val="2"/>
        <charset val="1"/>
      </rPr>
      <t xml:space="preserve">ટેકસ રૂ</t>
    </r>
    <r>
      <rPr>
        <sz val="14"/>
        <color rgb="FF000000"/>
        <rFont val="Calibri"/>
        <family val="2"/>
        <charset val="1"/>
      </rPr>
      <t xml:space="preserve">.282982 / - </t>
    </r>
    <r>
      <rPr>
        <sz val="14"/>
        <color rgb="FF000000"/>
        <rFont val="Noto Sans Devanagari"/>
        <family val="2"/>
        <charset val="1"/>
      </rPr>
      <t xml:space="preserve">નું </t>
    </r>
    <r>
      <rPr>
        <sz val="14"/>
        <color rgb="FF000000"/>
        <rFont val="Calibri"/>
        <family val="2"/>
        <charset val="1"/>
      </rPr>
      <t xml:space="preserve">DRC-03 ARN NO: AD241124002815K Date:09/11/2024 </t>
    </r>
    <r>
      <rPr>
        <sz val="14"/>
        <color rgb="FF000000"/>
        <rFont val="Noto Sans Devanagari"/>
        <family val="2"/>
        <charset val="1"/>
      </rPr>
      <t xml:space="preserve">તેમજ તફાવતની રકમ </t>
    </r>
    <r>
      <rPr>
        <sz val="14"/>
        <color rgb="FF000000"/>
        <rFont val="Calibri"/>
        <family val="2"/>
        <charset val="1"/>
      </rPr>
      <t xml:space="preserve">7,85,920/- </t>
    </r>
    <r>
      <rPr>
        <sz val="14"/>
        <color rgb="FF000000"/>
        <rFont val="Noto Sans Devanagari"/>
        <family val="2"/>
        <charset val="1"/>
      </rPr>
      <t xml:space="preserve">ની બેંક ગેરેંટી અત્રે રજુ કર્યેથી વાહન અને માલ મુક્ત કરેલ છે</t>
    </r>
    <r>
      <rPr>
        <sz val="14"/>
        <color rgb="FF000000"/>
        <rFont val="Calibri"/>
        <family val="2"/>
        <charset val="1"/>
      </rPr>
      <t xml:space="preserve">.</t>
    </r>
  </si>
  <si>
    <t xml:space="preserve">GJ27TT7207</t>
  </si>
  <si>
    <t xml:space="preserve">26/11/2024</t>
  </si>
  <si>
    <t xml:space="preserve">MIXED GOODS</t>
  </si>
  <si>
    <t xml:space="preserve">NO INVOICE PRODUCED FOR SOME OF ITEMS</t>
  </si>
  <si>
    <r>
      <rPr>
        <sz val="14"/>
        <color rgb="FF000000"/>
        <rFont val="Calibri"/>
        <family val="2"/>
        <charset val="1"/>
      </rPr>
      <t xml:space="preserve">R/SCA No: 15859 of 2024 </t>
    </r>
    <r>
      <rPr>
        <sz val="14"/>
        <color rgb="FF000000"/>
        <rFont val="Noto Sans Devanagari"/>
        <family val="2"/>
        <charset val="1"/>
      </rPr>
      <t xml:space="preserve">માં આપેલ નિર્દેશ અન્વયે </t>
    </r>
    <r>
      <rPr>
        <sz val="14"/>
        <color rgb="FF000000"/>
        <rFont val="Calibri"/>
        <family val="2"/>
        <charset val="1"/>
      </rPr>
      <t xml:space="preserve">200 % </t>
    </r>
    <r>
      <rPr>
        <sz val="14"/>
        <color rgb="FF000000"/>
        <rFont val="Noto Sans Devanagari"/>
        <family val="2"/>
        <charset val="1"/>
      </rPr>
      <t xml:space="preserve">ટેકસ રૂ</t>
    </r>
    <r>
      <rPr>
        <sz val="14"/>
        <color rgb="FF000000"/>
        <rFont val="Calibri"/>
        <family val="2"/>
        <charset val="1"/>
      </rPr>
      <t xml:space="preserve">.366614 / - </t>
    </r>
    <r>
      <rPr>
        <sz val="14"/>
        <color rgb="FF000000"/>
        <rFont val="Noto Sans Devanagari"/>
        <family val="2"/>
        <charset val="1"/>
      </rPr>
      <t xml:space="preserve">નું </t>
    </r>
    <r>
      <rPr>
        <sz val="14"/>
        <color rgb="FF000000"/>
        <rFont val="Calibri"/>
        <family val="2"/>
        <charset val="1"/>
      </rPr>
      <t xml:space="preserve">CHALLEN GSTIN: 24AATCS1290G1Z5 CPIN: 24112400520991 Date:26/11/2024 </t>
    </r>
    <r>
      <rPr>
        <sz val="14"/>
        <color rgb="FF000000"/>
        <rFont val="Noto Sans Devanagari"/>
        <family val="2"/>
        <charset val="1"/>
      </rPr>
      <t xml:space="preserve">તેમજ તફાવતની રકમ </t>
    </r>
    <r>
      <rPr>
        <sz val="14"/>
        <color rgb="FF000000"/>
        <rFont val="Calibri"/>
        <family val="2"/>
        <charset val="1"/>
      </rPr>
      <t xml:space="preserve">57,94,203/- </t>
    </r>
    <r>
      <rPr>
        <sz val="14"/>
        <color rgb="FF000000"/>
        <rFont val="Noto Sans Devanagari"/>
        <family val="2"/>
        <charset val="1"/>
      </rPr>
      <t xml:space="preserve">ની </t>
    </r>
    <r>
      <rPr>
        <sz val="14"/>
        <color rgb="FF000000"/>
        <rFont val="Calibri"/>
        <family val="2"/>
        <charset val="1"/>
      </rPr>
      <t xml:space="preserve">BOND </t>
    </r>
    <r>
      <rPr>
        <sz val="14"/>
        <color rgb="FF000000"/>
        <rFont val="Noto Sans Devanagari"/>
        <family val="2"/>
        <charset val="1"/>
      </rPr>
      <t xml:space="preserve">અત્રે રજુ કર્યેથી વાહન અને માલ મુક્ત કરેલ છે</t>
    </r>
    <r>
      <rPr>
        <sz val="14"/>
        <color rgb="FF000000"/>
        <rFont val="Calibri"/>
        <family val="2"/>
        <charset val="1"/>
      </rPr>
      <t xml:space="preserve">.</t>
    </r>
  </si>
  <si>
    <t xml:space="preserve">BOM INTERNATIONAL STEEL PRIVATE LIMITED</t>
  </si>
  <si>
    <t xml:space="preserve">27AALCB5721F1ZQ</t>
  </si>
  <si>
    <t xml:space="preserve">SONI ENTERPRISE</t>
  </si>
  <si>
    <t xml:space="preserve">27GLEPS3855N1Z8</t>
  </si>
  <si>
    <t xml:space="preserve">DD01E9240</t>
  </si>
  <si>
    <t xml:space="preserve">13/08/2024</t>
  </si>
  <si>
    <t xml:space="preserve">20/09/2024</t>
  </si>
  <si>
    <t xml:space="preserve">PET BOTTLE</t>
  </si>
  <si>
    <t xml:space="preserve">SUPPLIER FIRM FOUND BOGUS MOV-10 ISSUED ON 23/08/2024 VIDE Ow No.63</t>
  </si>
  <si>
    <r>
      <rPr>
        <sz val="16"/>
        <color rgb="FF000000"/>
        <rFont val="Bookman Old Style"/>
        <family val="1"/>
        <charset val="1"/>
      </rPr>
      <t xml:space="preserve">TEMPID: 242400002264TMP HAS CAME FORWARD AND MADE PAYMENT OF RS 74100/-WITH CHALLAN: 240924000056550</t>
    </r>
    <r>
      <rPr>
        <sz val="16"/>
        <color rgb="FF000000"/>
        <rFont val="Noto Sans Devanagari"/>
        <family val="2"/>
        <charset val="1"/>
      </rPr>
      <t xml:space="preserve">વાહનનો ફાઈન ભરીને વાહન મુક્ત કરાવેલ છે</t>
    </r>
    <r>
      <rPr>
        <sz val="16"/>
        <color rgb="FF000000"/>
        <rFont val="Bookman Old Style"/>
        <family val="1"/>
        <charset val="1"/>
      </rPr>
      <t xml:space="preserve">. </t>
    </r>
    <r>
      <rPr>
        <sz val="16"/>
        <color rgb="FF000000"/>
        <rFont val="Noto Sans Devanagari"/>
        <family val="2"/>
        <charset val="1"/>
      </rPr>
      <t xml:space="preserve">માલ ઉતારી લીધેલ છે</t>
    </r>
    <r>
      <rPr>
        <sz val="16"/>
        <color rgb="FF000000"/>
        <rFont val="Bookman Old Style"/>
        <family val="1"/>
        <charset val="1"/>
      </rPr>
      <t xml:space="preserve">. .</t>
    </r>
    <r>
      <rPr>
        <sz val="16"/>
        <color rgb="FF000000"/>
        <rFont val="Noto Sans Devanagari"/>
        <family val="2"/>
        <charset val="1"/>
      </rPr>
      <t xml:space="preserve">તા</t>
    </r>
    <r>
      <rPr>
        <sz val="16"/>
        <color rgb="FF000000"/>
        <rFont val="Bookman Old Style"/>
        <family val="1"/>
        <charset val="1"/>
      </rPr>
      <t xml:space="preserve">. </t>
    </r>
    <r>
      <rPr>
        <sz val="16"/>
        <color rgb="FF000000"/>
        <rFont val="Noto Sans Devanagari"/>
        <family val="2"/>
        <charset val="1"/>
      </rPr>
      <t xml:space="preserve">૧૨</t>
    </r>
    <r>
      <rPr>
        <sz val="16"/>
        <color rgb="FF000000"/>
        <rFont val="Bookman Old Style"/>
        <family val="1"/>
        <charset val="1"/>
      </rPr>
      <t xml:space="preserve">/</t>
    </r>
    <r>
      <rPr>
        <sz val="16"/>
        <color rgb="FF000000"/>
        <rFont val="Noto Sans Devanagari"/>
        <family val="2"/>
        <charset val="1"/>
      </rPr>
      <t xml:space="preserve">૦૩</t>
    </r>
    <r>
      <rPr>
        <sz val="16"/>
        <color rgb="FF000000"/>
        <rFont val="Bookman Old Style"/>
        <family val="1"/>
        <charset val="1"/>
      </rPr>
      <t xml:space="preserve">/</t>
    </r>
    <r>
      <rPr>
        <sz val="16"/>
        <color rgb="FF000000"/>
        <rFont val="Noto Sans Devanagari"/>
        <family val="2"/>
        <charset val="1"/>
      </rPr>
      <t xml:space="preserve">૨૦૨૫ના રોજ સદર કેસમાં ઉપસ્થિત કરેલ જવાબદારી સમક્ષ અપીલ તબ્બકે કોઈ રજૂઆત થયેલ છે કે નહીં તેની અધ્યતન પરિસ્થિતિ જાણવા હેતુ મા</t>
    </r>
    <r>
      <rPr>
        <sz val="16"/>
        <color rgb="FF000000"/>
        <rFont val="Bookman Old Style"/>
        <family val="1"/>
        <charset val="1"/>
      </rPr>
      <t xml:space="preserve">. </t>
    </r>
    <r>
      <rPr>
        <sz val="16"/>
        <color rgb="FF000000"/>
        <rFont val="Noto Sans Devanagari"/>
        <family val="2"/>
        <charset val="1"/>
      </rPr>
      <t xml:space="preserve">ના</t>
    </r>
    <r>
      <rPr>
        <sz val="16"/>
        <color rgb="FF000000"/>
        <rFont val="Bookman Old Style"/>
        <family val="1"/>
        <charset val="1"/>
      </rPr>
      <t xml:space="preserve">. </t>
    </r>
    <r>
      <rPr>
        <sz val="16"/>
        <color rgb="FF000000"/>
        <rFont val="Noto Sans Devanagari"/>
        <family val="2"/>
        <charset val="1"/>
      </rPr>
      <t xml:space="preserve">રા</t>
    </r>
    <r>
      <rPr>
        <sz val="16"/>
        <color rgb="FF000000"/>
        <rFont val="Bookman Old Style"/>
        <family val="1"/>
        <charset val="1"/>
      </rPr>
      <t xml:space="preserve">. </t>
    </r>
    <r>
      <rPr>
        <sz val="16"/>
        <color rgb="FF000000"/>
        <rFont val="Noto Sans Devanagari"/>
        <family val="2"/>
        <charset val="1"/>
      </rPr>
      <t xml:space="preserve">વે</t>
    </r>
    <r>
      <rPr>
        <sz val="16"/>
        <color rgb="FF000000"/>
        <rFont val="Bookman Old Style"/>
        <family val="1"/>
        <charset val="1"/>
      </rPr>
      <t xml:space="preserve">. </t>
    </r>
    <r>
      <rPr>
        <sz val="16"/>
        <color rgb="FF000000"/>
        <rFont val="Noto Sans Devanagari"/>
        <family val="2"/>
        <charset val="1"/>
      </rPr>
      <t xml:space="preserve">કમી</t>
    </r>
    <r>
      <rPr>
        <sz val="16"/>
        <color rgb="FF000000"/>
        <rFont val="Bookman Old Style"/>
        <family val="1"/>
        <charset val="1"/>
      </rPr>
      <t xml:space="preserve">. </t>
    </r>
    <r>
      <rPr>
        <sz val="16"/>
        <color rgb="FF000000"/>
        <rFont val="Noto Sans Devanagari"/>
        <family val="2"/>
        <charset val="1"/>
      </rPr>
      <t xml:space="preserve">અપીલ વિભાગ</t>
    </r>
    <r>
      <rPr>
        <sz val="16"/>
        <color rgb="FF000000"/>
        <rFont val="Bookman Old Style"/>
        <family val="1"/>
        <charset val="1"/>
      </rPr>
      <t xml:space="preserve">-</t>
    </r>
    <r>
      <rPr>
        <sz val="16"/>
        <color rgb="FF000000"/>
        <rFont val="Noto Sans Devanagari"/>
        <family val="2"/>
        <charset val="1"/>
      </rPr>
      <t xml:space="preserve">૦૭ ની કચેરીને પત્ર પાઠવેલ છે</t>
    </r>
    <r>
      <rPr>
        <sz val="16"/>
        <color rgb="FF000000"/>
        <rFont val="Bookman Old Style"/>
        <family val="1"/>
        <charset val="1"/>
      </rPr>
      <t xml:space="preserve">.</t>
    </r>
    <r>
      <rPr>
        <sz val="16"/>
        <color rgb="FF000000"/>
        <rFont val="Noto Sans Devanagari"/>
        <family val="2"/>
        <charset val="1"/>
      </rPr>
      <t xml:space="preserve">હરાજી પાત્ર છે</t>
    </r>
    <r>
      <rPr>
        <sz val="16"/>
        <color rgb="FF000000"/>
        <rFont val="Bookman Old Style"/>
        <family val="1"/>
        <charset val="1"/>
      </rPr>
      <t xml:space="preserve">. </t>
    </r>
    <r>
      <rPr>
        <sz val="16"/>
        <color rgb="FF000000"/>
        <rFont val="Noto Sans Devanagari"/>
        <family val="2"/>
        <charset val="1"/>
      </rPr>
      <t xml:space="preserve">હાલમાં </t>
    </r>
    <r>
      <rPr>
        <sz val="16"/>
        <color rgb="FF000000"/>
        <rFont val="Bookman Old Style"/>
        <family val="1"/>
        <charset val="1"/>
      </rPr>
      <t xml:space="preserve">DSC(FOR AUCTION) </t>
    </r>
    <r>
      <rPr>
        <sz val="16"/>
        <color rgb="FF000000"/>
        <rFont val="Noto Sans Devanagari"/>
        <family val="2"/>
        <charset val="1"/>
      </rPr>
      <t xml:space="preserve">બનાવવાની કામગીરી ચાલુમાં છે</t>
    </r>
  </si>
  <si>
    <t xml:space="preserve">SAVERA TRADERS</t>
  </si>
  <si>
    <t xml:space="preserve">33FLZPM1341F1ZX</t>
  </si>
  <si>
    <t xml:space="preserve">RACE ECOCHAIN LIMITED</t>
  </si>
  <si>
    <t xml:space="preserve">09AADCA1572H1Z3</t>
  </si>
  <si>
    <t xml:space="preserve">DD01S9136</t>
  </si>
  <si>
    <t xml:space="preserve">24-10-2024</t>
  </si>
  <si>
    <t xml:space="preserve"> 39159042 WASTE PET BOTTLE  </t>
  </si>
  <si>
    <t xml:space="preserve">SUSPICIOUS TRANSACTION FOUND, VEHICLE RELEASED AND GOODS CONFISCATED</t>
  </si>
  <si>
    <r>
      <rPr>
        <sz val="14"/>
        <color rgb="FF000000"/>
        <rFont val="Calibri"/>
        <family val="2"/>
        <charset val="1"/>
      </rPr>
      <t xml:space="preserve">TEMP ID : 242400002750TMP HAS CAME FORWARD AND MADE PAYMENT OF RS 142029/-WITH CHALLAN:24102400655640; </t>
    </r>
    <r>
      <rPr>
        <sz val="14"/>
        <color rgb="FF000000"/>
        <rFont val="Noto Sans Devanagari"/>
        <family val="2"/>
        <charset val="1"/>
      </rPr>
      <t xml:space="preserve">વાહનનો ફાઈન ભરીને વાહન મુક્ત કરાવેલ છે</t>
    </r>
    <r>
      <rPr>
        <sz val="14"/>
        <color rgb="FF000000"/>
        <rFont val="Calibri"/>
        <family val="2"/>
        <charset val="1"/>
      </rPr>
      <t xml:space="preserve">. </t>
    </r>
    <r>
      <rPr>
        <sz val="14"/>
        <color rgb="FF000000"/>
        <rFont val="Noto Sans Devanagari"/>
        <family val="2"/>
        <charset val="1"/>
      </rPr>
      <t xml:space="preserve">માલ ઉતારી લીધેલ છે</t>
    </r>
    <r>
      <rPr>
        <sz val="14"/>
        <color rgb="FF000000"/>
        <rFont val="Calibri"/>
        <family val="2"/>
        <charset val="1"/>
      </rPr>
      <t xml:space="preserve">. .</t>
    </r>
    <r>
      <rPr>
        <sz val="14"/>
        <color rgb="FF000000"/>
        <rFont val="Noto Sans Devanagari"/>
        <family val="2"/>
        <charset val="1"/>
      </rPr>
      <t xml:space="preserve">તા</t>
    </r>
    <r>
      <rPr>
        <sz val="14"/>
        <color rgb="FF000000"/>
        <rFont val="Calibri"/>
        <family val="2"/>
        <charset val="1"/>
      </rPr>
      <t xml:space="preserve">. </t>
    </r>
    <r>
      <rPr>
        <sz val="14"/>
        <color rgb="FF000000"/>
        <rFont val="Noto Sans Devanagari"/>
        <family val="2"/>
        <charset val="1"/>
      </rPr>
      <t xml:space="preserve">૧૨</t>
    </r>
    <r>
      <rPr>
        <sz val="14"/>
        <color rgb="FF000000"/>
        <rFont val="Calibri"/>
        <family val="2"/>
        <charset val="1"/>
      </rPr>
      <t xml:space="preserve">/</t>
    </r>
    <r>
      <rPr>
        <sz val="14"/>
        <color rgb="FF000000"/>
        <rFont val="Noto Sans Devanagari"/>
        <family val="2"/>
        <charset val="1"/>
      </rPr>
      <t xml:space="preserve">૦૩</t>
    </r>
    <r>
      <rPr>
        <sz val="14"/>
        <color rgb="FF000000"/>
        <rFont val="Calibri"/>
        <family val="2"/>
        <charset val="1"/>
      </rPr>
      <t xml:space="preserve">/</t>
    </r>
    <r>
      <rPr>
        <sz val="14"/>
        <color rgb="FF000000"/>
        <rFont val="Noto Sans Devanagari"/>
        <family val="2"/>
        <charset val="1"/>
      </rPr>
      <t xml:space="preserve">૨૦૨૫ના રોજ સદર કેસમાં ઉપસ્થિત કરેલ જવાબદારી સમક્ષ અપીલ તબ્બકે કોઈ રજૂઆત થયેલ છે કે નહીં તેની અધ્યતન પરિસ્થિતિ જાણવા હેતુ મા</t>
    </r>
    <r>
      <rPr>
        <sz val="14"/>
        <color rgb="FF000000"/>
        <rFont val="Calibri"/>
        <family val="2"/>
        <charset val="1"/>
      </rPr>
      <t xml:space="preserve">. </t>
    </r>
    <r>
      <rPr>
        <sz val="14"/>
        <color rgb="FF000000"/>
        <rFont val="Noto Sans Devanagari"/>
        <family val="2"/>
        <charset val="1"/>
      </rPr>
      <t xml:space="preserve">ના</t>
    </r>
    <r>
      <rPr>
        <sz val="14"/>
        <color rgb="FF000000"/>
        <rFont val="Calibri"/>
        <family val="2"/>
        <charset val="1"/>
      </rPr>
      <t xml:space="preserve">. </t>
    </r>
    <r>
      <rPr>
        <sz val="14"/>
        <color rgb="FF000000"/>
        <rFont val="Noto Sans Devanagari"/>
        <family val="2"/>
        <charset val="1"/>
      </rPr>
      <t xml:space="preserve">રા</t>
    </r>
    <r>
      <rPr>
        <sz val="14"/>
        <color rgb="FF000000"/>
        <rFont val="Calibri"/>
        <family val="2"/>
        <charset val="1"/>
      </rPr>
      <t xml:space="preserve">. </t>
    </r>
    <r>
      <rPr>
        <sz val="14"/>
        <color rgb="FF000000"/>
        <rFont val="Noto Sans Devanagari"/>
        <family val="2"/>
        <charset val="1"/>
      </rPr>
      <t xml:space="preserve">વે</t>
    </r>
    <r>
      <rPr>
        <sz val="14"/>
        <color rgb="FF000000"/>
        <rFont val="Calibri"/>
        <family val="2"/>
        <charset val="1"/>
      </rPr>
      <t xml:space="preserve">. </t>
    </r>
    <r>
      <rPr>
        <sz val="14"/>
        <color rgb="FF000000"/>
        <rFont val="Noto Sans Devanagari"/>
        <family val="2"/>
        <charset val="1"/>
      </rPr>
      <t xml:space="preserve">કમી</t>
    </r>
    <r>
      <rPr>
        <sz val="14"/>
        <color rgb="FF000000"/>
        <rFont val="Calibri"/>
        <family val="2"/>
        <charset val="1"/>
      </rPr>
      <t xml:space="preserve">. </t>
    </r>
    <r>
      <rPr>
        <sz val="14"/>
        <color rgb="FF000000"/>
        <rFont val="Noto Sans Devanagari"/>
        <family val="2"/>
        <charset val="1"/>
      </rPr>
      <t xml:space="preserve">અપીલ વિભાગ</t>
    </r>
    <r>
      <rPr>
        <sz val="14"/>
        <color rgb="FF000000"/>
        <rFont val="Calibri"/>
        <family val="2"/>
        <charset val="1"/>
      </rPr>
      <t xml:space="preserve">-</t>
    </r>
    <r>
      <rPr>
        <sz val="14"/>
        <color rgb="FF000000"/>
        <rFont val="Noto Sans Devanagari"/>
        <family val="2"/>
        <charset val="1"/>
      </rPr>
      <t xml:space="preserve">૦૭ ની કચેરીને પત્ર પાઠવેલ છે</t>
    </r>
    <r>
      <rPr>
        <sz val="14"/>
        <color rgb="FF000000"/>
        <rFont val="Calibri"/>
        <family val="2"/>
        <charset val="1"/>
      </rPr>
      <t xml:space="preserve">.</t>
    </r>
    <r>
      <rPr>
        <sz val="14"/>
        <color rgb="FF000000"/>
        <rFont val="Noto Sans Devanagari"/>
        <family val="2"/>
        <charset val="1"/>
      </rPr>
      <t xml:space="preserve">હરાજી પાત્ર કેસ છે</t>
    </r>
    <r>
      <rPr>
        <sz val="14"/>
        <color rgb="FF000000"/>
        <rFont val="Calibri"/>
        <family val="2"/>
        <charset val="1"/>
      </rPr>
      <t xml:space="preserve">. </t>
    </r>
    <r>
      <rPr>
        <sz val="14"/>
        <color rgb="FF000000"/>
        <rFont val="Noto Sans Devanagari"/>
        <family val="2"/>
        <charset val="1"/>
      </rPr>
      <t xml:space="preserve">હાલમાં </t>
    </r>
    <r>
      <rPr>
        <sz val="14"/>
        <color rgb="FF000000"/>
        <rFont val="Calibri"/>
        <family val="2"/>
        <charset val="1"/>
      </rPr>
      <t xml:space="preserve">DSC (For Auction )</t>
    </r>
    <r>
      <rPr>
        <sz val="14"/>
        <color rgb="FF000000"/>
        <rFont val="Noto Sans Devanagari"/>
        <family val="2"/>
        <charset val="1"/>
      </rPr>
      <t xml:space="preserve">બનાવવાની કામગીરી ચાલુમાં છે</t>
    </r>
  </si>
  <si>
    <t xml:space="preserve">SHRI SHAMBHU TRADING</t>
  </si>
  <si>
    <t xml:space="preserve">27FPHPB4686A1ZZ</t>
  </si>
  <si>
    <t xml:space="preserve">WELSPUN SPECIALTY SOLUTIONS LIMITED</t>
  </si>
  <si>
    <t xml:space="preserve">24AAACR2121C1Z9</t>
  </si>
  <si>
    <t xml:space="preserve">GJ15YY4395</t>
  </si>
  <si>
    <t xml:space="preserve">---</t>
  </si>
  <si>
    <t xml:space="preserve">-</t>
  </si>
  <si>
    <t xml:space="preserve"> 720421 S S SCRAP  </t>
  </si>
  <si>
    <t xml:space="preserve">BOGUS AND SUSPICIOUS TRASACTION</t>
  </si>
  <si>
    <r>
      <rPr>
        <sz val="14"/>
        <color rgb="FF000000"/>
        <rFont val="Calibri"/>
        <family val="2"/>
        <charset val="1"/>
      </rPr>
      <t xml:space="preserve">MOV-11 ISSUED ON 07/12/2024; </t>
    </r>
    <r>
      <rPr>
        <sz val="14"/>
        <color rgb="FF000000"/>
        <rFont val="Noto Sans Devanagari"/>
        <family val="2"/>
        <charset val="1"/>
      </rPr>
      <t xml:space="preserve">માલ  સહિત વાહન પેડિંગ છે</t>
    </r>
    <r>
      <rPr>
        <sz val="14"/>
        <color rgb="FF000000"/>
        <rFont val="Calibri"/>
        <family val="2"/>
        <charset val="1"/>
      </rPr>
      <t xml:space="preserve">. </t>
    </r>
    <r>
      <rPr>
        <sz val="14"/>
        <color rgb="FF000000"/>
        <rFont val="Noto Sans Devanagari"/>
        <family val="2"/>
        <charset val="1"/>
      </rPr>
      <t xml:space="preserve">૯૦ દિવસ ૦૭</t>
    </r>
    <r>
      <rPr>
        <sz val="14"/>
        <color rgb="FF000000"/>
        <rFont val="Calibri"/>
        <family val="2"/>
        <charset val="1"/>
      </rPr>
      <t xml:space="preserve">/</t>
    </r>
    <r>
      <rPr>
        <sz val="14"/>
        <color rgb="FF000000"/>
        <rFont val="Noto Sans Devanagari"/>
        <family val="2"/>
        <charset val="1"/>
      </rPr>
      <t xml:space="preserve">૦૩</t>
    </r>
    <r>
      <rPr>
        <sz val="14"/>
        <color rgb="FF000000"/>
        <rFont val="Calibri"/>
        <family val="2"/>
        <charset val="1"/>
      </rPr>
      <t xml:space="preserve">/</t>
    </r>
    <r>
      <rPr>
        <sz val="14"/>
        <color rgb="FF000000"/>
        <rFont val="Noto Sans Devanagari"/>
        <family val="2"/>
        <charset val="1"/>
      </rPr>
      <t xml:space="preserve">૨૦૨૫ અ પુરા થયેલ હોઇ હરાજીની કામગીરી હવેથી શરૂ થશેહાલમાં </t>
    </r>
    <r>
      <rPr>
        <sz val="14"/>
        <color rgb="FF000000"/>
        <rFont val="Calibri"/>
        <family val="2"/>
        <charset val="1"/>
      </rPr>
      <t xml:space="preserve">DSC (For Auction )</t>
    </r>
    <r>
      <rPr>
        <sz val="14"/>
        <color rgb="FF000000"/>
        <rFont val="Noto Sans Devanagari"/>
        <family val="2"/>
        <charset val="1"/>
      </rPr>
      <t xml:space="preserve">બનાવવાની કામગીરી ચાલુમાં છે</t>
    </r>
    <r>
      <rPr>
        <sz val="14"/>
        <color rgb="FF000000"/>
        <rFont val="Calibri"/>
        <family val="2"/>
        <charset val="1"/>
      </rPr>
      <t xml:space="preserve">.</t>
    </r>
    <r>
      <rPr>
        <sz val="14"/>
        <color rgb="FF000000"/>
        <rFont val="Noto Sans Devanagari"/>
        <family val="2"/>
        <charset val="1"/>
      </rPr>
      <t xml:space="preserve">નામદાર હાઈકોર્ટ એ અરજદાર ને ઓર્ડર કર્યા ની તારીખ ૦૭</t>
    </r>
    <r>
      <rPr>
        <sz val="14"/>
        <color rgb="FF000000"/>
        <rFont val="Calibri"/>
        <family val="2"/>
        <charset val="1"/>
      </rPr>
      <t xml:space="preserve">-</t>
    </r>
    <r>
      <rPr>
        <sz val="14"/>
        <color rgb="FF000000"/>
        <rFont val="Noto Sans Devanagari"/>
        <family val="2"/>
        <charset val="1"/>
      </rPr>
      <t xml:space="preserve">૦૩</t>
    </r>
    <r>
      <rPr>
        <sz val="14"/>
        <color rgb="FF000000"/>
        <rFont val="Calibri"/>
        <family val="2"/>
        <charset val="1"/>
      </rPr>
      <t xml:space="preserve">-</t>
    </r>
    <r>
      <rPr>
        <sz val="14"/>
        <color rgb="FF000000"/>
        <rFont val="Noto Sans Devanagari"/>
        <family val="2"/>
        <charset val="1"/>
      </rPr>
      <t xml:space="preserve">૨૦૨૫ થી એક સપ્તાહમા પ્રથમ અપીલ ફાઈલ કરવાનૂ જણાવેલ છે</t>
    </r>
    <r>
      <rPr>
        <sz val="14"/>
        <color rgb="FF000000"/>
        <rFont val="Calibri"/>
        <family val="2"/>
        <charset val="1"/>
      </rPr>
      <t xml:space="preserve">. </t>
    </r>
    <r>
      <rPr>
        <sz val="14"/>
        <color rgb="FF000000"/>
        <rFont val="Noto Sans Devanagari"/>
        <family val="2"/>
        <charset val="1"/>
      </rPr>
      <t xml:space="preserve">જેથી તા</t>
    </r>
    <r>
      <rPr>
        <sz val="14"/>
        <color rgb="FF000000"/>
        <rFont val="Calibri"/>
        <family val="2"/>
        <charset val="1"/>
      </rPr>
      <t xml:space="preserve">. </t>
    </r>
    <r>
      <rPr>
        <sz val="14"/>
        <color rgb="FF000000"/>
        <rFont val="Noto Sans Devanagari"/>
        <family val="2"/>
        <charset val="1"/>
      </rPr>
      <t xml:space="preserve">૧૨</t>
    </r>
    <r>
      <rPr>
        <sz val="14"/>
        <color rgb="FF000000"/>
        <rFont val="Calibri"/>
        <family val="2"/>
        <charset val="1"/>
      </rPr>
      <t xml:space="preserve">/</t>
    </r>
    <r>
      <rPr>
        <sz val="14"/>
        <color rgb="FF000000"/>
        <rFont val="Noto Sans Devanagari"/>
        <family val="2"/>
        <charset val="1"/>
      </rPr>
      <t xml:space="preserve">૦૩</t>
    </r>
    <r>
      <rPr>
        <sz val="14"/>
        <color rgb="FF000000"/>
        <rFont val="Calibri"/>
        <family val="2"/>
        <charset val="1"/>
      </rPr>
      <t xml:space="preserve">/</t>
    </r>
    <r>
      <rPr>
        <sz val="14"/>
        <color rgb="FF000000"/>
        <rFont val="Noto Sans Devanagari"/>
        <family val="2"/>
        <charset val="1"/>
      </rPr>
      <t xml:space="preserve">૨૦૨૫ના રોજ સદર કેસમાં ઉપસ્થિત કરેલ જવાબદારી સમક્ષ અપીલ તબ્બકે કોઈ રજૂઆત થયેલ છે કે નહીં તેની અધ્યતન પરિસ્થિતિ જાણવા હેતુ મા</t>
    </r>
    <r>
      <rPr>
        <sz val="14"/>
        <color rgb="FF000000"/>
        <rFont val="Calibri"/>
        <family val="2"/>
        <charset val="1"/>
      </rPr>
      <t xml:space="preserve">. </t>
    </r>
    <r>
      <rPr>
        <sz val="14"/>
        <color rgb="FF000000"/>
        <rFont val="Noto Sans Devanagari"/>
        <family val="2"/>
        <charset val="1"/>
      </rPr>
      <t xml:space="preserve">ના</t>
    </r>
    <r>
      <rPr>
        <sz val="14"/>
        <color rgb="FF000000"/>
        <rFont val="Calibri"/>
        <family val="2"/>
        <charset val="1"/>
      </rPr>
      <t xml:space="preserve">. </t>
    </r>
    <r>
      <rPr>
        <sz val="14"/>
        <color rgb="FF000000"/>
        <rFont val="Noto Sans Devanagari"/>
        <family val="2"/>
        <charset val="1"/>
      </rPr>
      <t xml:space="preserve">રા</t>
    </r>
    <r>
      <rPr>
        <sz val="14"/>
        <color rgb="FF000000"/>
        <rFont val="Calibri"/>
        <family val="2"/>
        <charset val="1"/>
      </rPr>
      <t xml:space="preserve">. </t>
    </r>
    <r>
      <rPr>
        <sz val="14"/>
        <color rgb="FF000000"/>
        <rFont val="Noto Sans Devanagari"/>
        <family val="2"/>
        <charset val="1"/>
      </rPr>
      <t xml:space="preserve">વે</t>
    </r>
    <r>
      <rPr>
        <sz val="14"/>
        <color rgb="FF000000"/>
        <rFont val="Calibri"/>
        <family val="2"/>
        <charset val="1"/>
      </rPr>
      <t xml:space="preserve">. </t>
    </r>
    <r>
      <rPr>
        <sz val="14"/>
        <color rgb="FF000000"/>
        <rFont val="Noto Sans Devanagari"/>
        <family val="2"/>
        <charset val="1"/>
      </rPr>
      <t xml:space="preserve">કમી</t>
    </r>
    <r>
      <rPr>
        <sz val="14"/>
        <color rgb="FF000000"/>
        <rFont val="Calibri"/>
        <family val="2"/>
        <charset val="1"/>
      </rPr>
      <t xml:space="preserve">. </t>
    </r>
    <r>
      <rPr>
        <sz val="14"/>
        <color rgb="FF000000"/>
        <rFont val="Noto Sans Devanagari"/>
        <family val="2"/>
        <charset val="1"/>
      </rPr>
      <t xml:space="preserve">અપીલ વિભાગ</t>
    </r>
    <r>
      <rPr>
        <sz val="14"/>
        <color rgb="FF000000"/>
        <rFont val="Calibri"/>
        <family val="2"/>
        <charset val="1"/>
      </rPr>
      <t xml:space="preserve">-</t>
    </r>
    <r>
      <rPr>
        <sz val="14"/>
        <color rgb="FF000000"/>
        <rFont val="Noto Sans Devanagari"/>
        <family val="2"/>
        <charset val="1"/>
      </rPr>
      <t xml:space="preserve">૦૭ ની કચેરીને પત્ર પાઠવેલ છે</t>
    </r>
    <r>
      <rPr>
        <sz val="14"/>
        <color rgb="FF000000"/>
        <rFont val="Calibri"/>
        <family val="2"/>
        <charset val="1"/>
      </rPr>
      <t xml:space="preserve">.</t>
    </r>
  </si>
  <si>
    <t xml:space="preserve">GJ21W5841</t>
  </si>
  <si>
    <t xml:space="preserve">18/01/2025</t>
  </si>
  <si>
    <t xml:space="preserve">  5306LILEN YARN </t>
  </si>
  <si>
    <t xml:space="preserve">NO INVOICE TENDRED AT THE TIME OF VEHICLE INTERCEPTION </t>
  </si>
  <si>
    <r>
      <rPr>
        <sz val="14"/>
        <color rgb="FF000000"/>
        <rFont val="Calibri"/>
        <family val="2"/>
        <charset val="1"/>
      </rPr>
      <t xml:space="preserve">(1)TEMP ID : 242500000114TMP HAS CAME FORWARD AND MADE PAYMENT OF RS.89650/-WITH CHALLAN : 25012400232513. </t>
    </r>
    <r>
      <rPr>
        <sz val="14"/>
        <color rgb="FF000000"/>
        <rFont val="Noto Sans Devanagari"/>
        <family val="2"/>
        <charset val="1"/>
      </rPr>
      <t xml:space="preserve">વાહનનો ફાઈન ભરીને વાહન મુક્ત કરાવેલ છે</t>
    </r>
    <r>
      <rPr>
        <sz val="14"/>
        <color rgb="FF000000"/>
        <rFont val="Calibri"/>
        <family val="2"/>
        <charset val="1"/>
      </rPr>
      <t xml:space="preserve">. </t>
    </r>
    <r>
      <rPr>
        <sz val="14"/>
        <color rgb="FF000000"/>
        <rFont val="Noto Sans Devanagari"/>
        <family val="2"/>
        <charset val="1"/>
      </rPr>
      <t xml:space="preserve">માલ ઉતારી લીધેલ છે</t>
    </r>
    <r>
      <rPr>
        <sz val="14"/>
        <color rgb="FF000000"/>
        <rFont val="Calibri"/>
        <family val="2"/>
        <charset val="1"/>
      </rPr>
      <t xml:space="preserve">. (2)MOV-11 ISSUED ON 28/01/2025</t>
    </r>
  </si>
  <si>
    <t xml:space="preserve">RJ09GE0926</t>
  </si>
  <si>
    <t xml:space="preserve">23/12/2024</t>
  </si>
  <si>
    <t xml:space="preserve">INWARD SUPPLY CHAIN FOUND BOGUS</t>
  </si>
  <si>
    <r>
      <rPr>
        <sz val="14"/>
        <color rgb="FF000000"/>
        <rFont val="Calibri"/>
        <family val="2"/>
        <charset val="1"/>
      </rPr>
      <t xml:space="preserve">TEMP ID : 242500000112TMP HAS CAME FORWARD AND MADE PAYMENT OF RS.226755/-WITH CHALLAN : 25012400193375 </t>
    </r>
    <r>
      <rPr>
        <sz val="14"/>
        <color rgb="FF000000"/>
        <rFont val="Noto Sans Devanagari"/>
        <family val="2"/>
        <charset val="1"/>
      </rPr>
      <t xml:space="preserve">વાહનનો ફાઈન ભરીને વાહન મુક્ત કરાવેલ છે</t>
    </r>
    <r>
      <rPr>
        <sz val="14"/>
        <color rgb="FF000000"/>
        <rFont val="Calibri"/>
        <family val="2"/>
        <charset val="1"/>
      </rPr>
      <t xml:space="preserve">. </t>
    </r>
    <r>
      <rPr>
        <sz val="14"/>
        <color rgb="FF000000"/>
        <rFont val="Noto Sans Devanagari"/>
        <family val="2"/>
        <charset val="1"/>
      </rPr>
      <t xml:space="preserve">માલ ઉતારી લીધેલ છે</t>
    </r>
    <r>
      <rPr>
        <sz val="14"/>
        <color rgb="FF000000"/>
        <rFont val="Calibri"/>
        <family val="2"/>
        <charset val="1"/>
      </rPr>
      <t xml:space="preserve">.</t>
    </r>
    <r>
      <rPr>
        <sz val="14"/>
        <color rgb="FF000000"/>
        <rFont val="Noto Sans Devanagari"/>
        <family val="2"/>
        <charset val="1"/>
      </rPr>
      <t xml:space="preserve">ડિમાંડ ઓર્ડ્રર્ના ૯૦ દિવસ બાકી હોઇ હરાજી શક્ય નથી</t>
    </r>
    <r>
      <rPr>
        <sz val="14"/>
        <color rgb="FF000000"/>
        <rFont val="Calibri"/>
        <family val="2"/>
        <charset val="1"/>
      </rPr>
      <t xml:space="preserve">.
</t>
    </r>
  </si>
  <si>
    <t xml:space="preserve">VENUS ALLOYS</t>
  </si>
  <si>
    <t xml:space="preserve">27RKKPS1803Q1Z3</t>
  </si>
  <si>
    <t xml:space="preserve">VISHAL ENGINEERING</t>
  </si>
  <si>
    <t xml:space="preserve">26AAFFV1664E1Z8</t>
  </si>
  <si>
    <t xml:space="preserve">GJ21W9745</t>
  </si>
  <si>
    <t xml:space="preserve"> 7204 M S SCRAP  </t>
  </si>
  <si>
    <t xml:space="preserve">MOV 10 ISSUED</t>
  </si>
  <si>
    <t xml:space="preserve">SELF</t>
  </si>
  <si>
    <t xml:space="preserve">MARS ENTERPRISE</t>
  </si>
  <si>
    <t xml:space="preserve">27NRKPS3908B1ZE</t>
  </si>
  <si>
    <t xml:space="preserve">GJ21V7737</t>
  </si>
  <si>
    <t xml:space="preserve">  7204 M S SCRAP </t>
  </si>
  <si>
    <t xml:space="preserve">MOV 4 AND MOV 6 ISSUED</t>
  </si>
  <si>
    <t xml:space="preserve">CLASSIC WARE LLP</t>
  </si>
  <si>
    <t xml:space="preserve">33AAKFJ1271A1ZX</t>
  </si>
  <si>
    <t xml:space="preserve">AMBICA METALS</t>
  </si>
  <si>
    <t xml:space="preserve">24AAQPJ7991M1ZT</t>
  </si>
  <si>
    <t xml:space="preserve">RJ18GB8404</t>
  </si>
  <si>
    <t xml:space="preserve">732393 SS UTENSILS</t>
  </si>
  <si>
    <t xml:space="preserve">EXPRESS LOGISTIC</t>
  </si>
  <si>
    <t xml:space="preserve">33AAMPM9943J1Z5</t>
  </si>
  <si>
    <t xml:space="preserve">HINDUSTAN UNILIVER LIMITED FOR GUJARAT</t>
  </si>
  <si>
    <t xml:space="preserve">24AAACH1004N1Z0</t>
  </si>
  <si>
    <t xml:space="preserve">AVENUE SUPERMARTS LTD</t>
  </si>
  <si>
    <t xml:space="preserve">24AACCA8432H1ZW</t>
  </si>
  <si>
    <t xml:space="preserve">GJ15AT5668</t>
  </si>
  <si>
    <t xml:space="preserve">3402500 MIX GOODS</t>
  </si>
  <si>
    <t xml:space="preserve">E WAY BILL EXPIRED</t>
  </si>
  <si>
    <t xml:space="preserve">MAHINDRA LOGISTCS LIMITED</t>
  </si>
  <si>
    <t xml:space="preserve">24AAFCM2530H1ZU</t>
  </si>
  <si>
    <t xml:space="preserve">F K METALS</t>
  </si>
  <si>
    <t xml:space="preserve">27ABYPF6687R2Z7</t>
  </si>
  <si>
    <t xml:space="preserve">HINDUSTAN METALS</t>
  </si>
  <si>
    <t xml:space="preserve">24AJRPL1947P1ZH</t>
  </si>
  <si>
    <t xml:space="preserve">MH01CV4895</t>
  </si>
  <si>
    <t xml:space="preserve">7404 BRASS SCRAP/MIX GOODS</t>
  </si>
  <si>
    <t xml:space="preserve">FOR FURTHER VERIFICATION</t>
  </si>
  <si>
    <t xml:space="preserve">GUJARAT GOODS SERVICES</t>
  </si>
  <si>
    <t xml:space="preserve">27AAFFG8339R1ZK</t>
  </si>
  <si>
    <t xml:space="preserve">GJ15YY0698</t>
  </si>
  <si>
    <t xml:space="preserve">5407 YARN</t>
  </si>
  <si>
    <t xml:space="preserve">BALAJI PACKAGING</t>
  </si>
  <si>
    <t xml:space="preserve">24CCIPC7256C1ZX</t>
  </si>
  <si>
    <t xml:space="preserve">NATIONAL ENTERPRISE</t>
  </si>
  <si>
    <t xml:space="preserve">24AAZFB7007M1ZY</t>
  </si>
  <si>
    <t xml:space="preserve">GJ05BT4966</t>
  </si>
  <si>
    <t xml:space="preserve">48191010 LINER PAPER</t>
  </si>
  <si>
    <t xml:space="preserve">SR NO</t>
  </si>
  <si>
    <t xml:space="preserve">TEAM </t>
  </si>
  <si>
    <t xml:space="preserve"> OFFICER  NAME</t>
  </si>
  <si>
    <t xml:space="preserve">EWB VERIFICATION </t>
  </si>
  <si>
    <t xml:space="preserve">NO OF VEHICLE INSPECTED</t>
  </si>
  <si>
    <t xml:space="preserve">NO OF VEHICLE PHYSICALLY VERIFIED</t>
  </si>
  <si>
    <t xml:space="preserve">NO OF VEHICLES DETAINED</t>
  </si>
  <si>
    <t xml:space="preserve">NO OF VEHICLES RELEASED</t>
  </si>
  <si>
    <t xml:space="preserve">AMOUNT RECOVERS  (IN LAKHS) </t>
  </si>
</sst>
</file>

<file path=xl/styles.xml><?xml version="1.0" encoding="utf-8"?>
<styleSheet xmlns="http://schemas.openxmlformats.org/spreadsheetml/2006/main">
  <numFmts count="3">
    <numFmt numFmtId="164" formatCode="General"/>
    <numFmt numFmtId="165" formatCode="0"/>
    <numFmt numFmtId="166" formatCode="dd/mm/yyyy"/>
  </numFmts>
  <fonts count="16">
    <font>
      <sz val="11"/>
      <color theme="1"/>
      <name val="Calibri"/>
      <family val="2"/>
      <charset val="1"/>
    </font>
    <font>
      <sz val="10"/>
      <name val="Arial"/>
      <family val="0"/>
    </font>
    <font>
      <sz val="10"/>
      <name val="Arial"/>
      <family val="0"/>
    </font>
    <font>
      <sz val="10"/>
      <name val="Arial"/>
      <family val="0"/>
    </font>
    <font>
      <b val="true"/>
      <sz val="26"/>
      <name val="Calibri"/>
      <family val="2"/>
      <charset val="1"/>
    </font>
    <font>
      <b val="true"/>
      <sz val="26"/>
      <color rgb="FF000000"/>
      <name val="Calibri"/>
      <family val="2"/>
      <charset val="1"/>
    </font>
    <font>
      <sz val="14"/>
      <color rgb="FF000000"/>
      <name val="Calibri"/>
      <family val="2"/>
      <charset val="1"/>
    </font>
    <font>
      <sz val="14"/>
      <name val="Calibri"/>
      <family val="2"/>
      <charset val="1"/>
    </font>
    <font>
      <sz val="14"/>
      <color rgb="FF000000"/>
      <name val="Noto Sans Devanagari"/>
      <family val="2"/>
      <charset val="1"/>
    </font>
    <font>
      <sz val="11"/>
      <color rgb="FF000000"/>
      <name val="Calibri"/>
      <family val="2"/>
      <charset val="1"/>
    </font>
    <font>
      <sz val="16"/>
      <name val="Bookman Old Style"/>
      <family val="1"/>
      <charset val="1"/>
    </font>
    <font>
      <sz val="16"/>
      <color rgb="FF000000"/>
      <name val="Bookman Old Style"/>
      <family val="1"/>
      <charset val="1"/>
    </font>
    <font>
      <sz val="16"/>
      <color rgb="FF000000"/>
      <name val="Noto Sans Devanagari"/>
      <family val="2"/>
      <charset val="1"/>
    </font>
    <font>
      <sz val="14"/>
      <color theme="1"/>
      <name val="Calibri"/>
      <family val="2"/>
      <charset val="1"/>
    </font>
    <font>
      <sz val="16"/>
      <color theme="1"/>
      <name val="Calibri"/>
      <family val="2"/>
      <charset val="1"/>
    </font>
    <font>
      <sz val="16"/>
      <color rgb="FF000000"/>
      <name val="Calibri"/>
      <family val="2"/>
      <charset val="1"/>
    </font>
  </fonts>
  <fills count="4">
    <fill>
      <patternFill patternType="none"/>
    </fill>
    <fill>
      <patternFill patternType="gray125"/>
    </fill>
    <fill>
      <patternFill patternType="solid">
        <fgColor theme="0"/>
        <bgColor rgb="FFFFFFCC"/>
      </patternFill>
    </fill>
    <fill>
      <patternFill patternType="solid">
        <fgColor rgb="FFFFFF00"/>
        <bgColor rgb="FFFFFF00"/>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style="medium">
        <color rgb="FFCCCCCC"/>
      </left>
      <right style="medium"/>
      <top style="medium"/>
      <bottom style="mediu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5" fontId="6"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6" fontId="6" fillId="0" borderId="1" xfId="0" applyFont="true" applyBorder="true" applyAlignment="true" applyProtection="true">
      <alignment horizontal="center" vertical="center" textRotation="0" wrapText="true" indent="0" shrinkToFit="false"/>
      <protection locked="true" hidden="false"/>
    </xf>
    <xf numFmtId="165" fontId="8" fillId="0" borderId="1" xfId="0" applyFont="true" applyBorder="true" applyAlignment="true" applyProtection="true">
      <alignment horizontal="center" vertical="center" textRotation="0" wrapText="true" indent="0" shrinkToFit="false"/>
      <protection locked="true" hidden="false"/>
    </xf>
    <xf numFmtId="166" fontId="6" fillId="0" borderId="1" xfId="0" applyFont="true" applyBorder="true" applyAlignment="true" applyProtection="true">
      <alignment horizontal="center" vertical="center" textRotation="0" wrapText="false" indent="0" shrinkToFit="false"/>
      <protection locked="true" hidden="false"/>
    </xf>
    <xf numFmtId="165" fontId="7" fillId="0" borderId="1" xfId="0" applyFont="true" applyBorder="true" applyAlignment="true" applyProtection="true">
      <alignment horizontal="center" vertical="center" textRotation="0" wrapText="true" indent="0" shrinkToFit="false"/>
      <protection locked="true" hidden="false"/>
    </xf>
    <xf numFmtId="166" fontId="7"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6" fontId="11"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6" fontId="13" fillId="0"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5" fontId="6" fillId="2" borderId="1" xfId="0" applyFont="true" applyBorder="true" applyAlignment="true" applyProtection="true">
      <alignment horizontal="center" vertical="center" textRotation="0" wrapText="true" indent="0" shrinkToFit="false"/>
      <protection locked="true" hidden="false"/>
    </xf>
    <xf numFmtId="164" fontId="13" fillId="2" borderId="1" xfId="0" applyFont="true" applyBorder="true" applyAlignment="true" applyProtection="true">
      <alignment horizontal="center" vertical="center" textRotation="0" wrapText="true" indent="0" shrinkToFit="false"/>
      <protection locked="true" hidden="false"/>
    </xf>
    <xf numFmtId="166" fontId="13" fillId="2" borderId="1" xfId="0" applyFont="true" applyBorder="true" applyAlignment="true" applyProtection="true">
      <alignment horizontal="center" vertical="center" textRotation="0" wrapText="true" indent="0" shrinkToFit="false"/>
      <protection locked="true" hidden="false"/>
    </xf>
    <xf numFmtId="165" fontId="13" fillId="2" borderId="1" xfId="0" applyFont="true" applyBorder="true" applyAlignment="true" applyProtection="true">
      <alignment horizontal="center" vertical="center" textRotation="0" wrapText="true" indent="0" shrinkToFit="false"/>
      <protection locked="true" hidden="false"/>
    </xf>
    <xf numFmtId="164" fontId="13" fillId="2" borderId="1" xfId="0" applyFont="true" applyBorder="true" applyAlignment="true" applyProtection="true">
      <alignment horizontal="center" vertical="center"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13" fillId="3" borderId="2" xfId="0" applyFont="true" applyBorder="true" applyAlignment="true" applyProtection="true">
      <alignment horizontal="general" vertical="bottom" textRotation="0" wrapText="false" indent="0" shrinkToFit="false"/>
      <protection locked="true" hidden="false"/>
    </xf>
    <xf numFmtId="164" fontId="13" fillId="3" borderId="3" xfId="0" applyFont="true" applyBorder="true" applyAlignment="true" applyProtection="true">
      <alignment horizontal="general" vertical="bottom" textRotation="0" wrapText="false" indent="0" shrinkToFit="false"/>
      <protection locked="true" hidden="false"/>
    </xf>
    <xf numFmtId="166" fontId="13" fillId="3" borderId="3" xfId="0" applyFont="true" applyBorder="true" applyAlignment="true" applyProtection="true">
      <alignment horizontal="general" vertical="bottom" textRotation="0" wrapText="false" indent="0" shrinkToFit="false"/>
      <protection locked="true" hidden="false"/>
    </xf>
    <xf numFmtId="166" fontId="13" fillId="3" borderId="4" xfId="0" applyFont="true" applyBorder="true" applyAlignment="true" applyProtection="true">
      <alignment horizontal="general" vertical="bottom" textRotation="0" wrapText="false" indent="0" shrinkToFit="false"/>
      <protection locked="true" hidden="false"/>
    </xf>
    <xf numFmtId="165" fontId="6" fillId="3" borderId="1" xfId="0" applyFont="true" applyBorder="true" applyAlignment="true" applyProtection="true">
      <alignment horizontal="center" vertical="center" textRotation="0" wrapText="tru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5" fontId="13" fillId="3" borderId="1" xfId="0" applyFont="true" applyBorder="true" applyAlignment="true" applyProtection="true">
      <alignment horizontal="center" vertical="center" textRotation="0" wrapText="true" indent="0" shrinkToFit="false"/>
      <protection locked="true" hidden="false"/>
    </xf>
    <xf numFmtId="164" fontId="13" fillId="3" borderId="1" xfId="0" applyFont="true" applyBorder="true" applyAlignment="true" applyProtection="true">
      <alignment horizontal="center"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3" fillId="3" borderId="5" xfId="0" applyFont="true" applyBorder="true" applyAlignment="true" applyProtection="true">
      <alignment horizontal="general" vertical="center" textRotation="0" wrapText="true" indent="0" shrinkToFit="false"/>
      <protection locked="true" hidden="false"/>
    </xf>
    <xf numFmtId="164" fontId="13" fillId="3" borderId="6" xfId="0" applyFont="true" applyBorder="true" applyAlignment="true" applyProtection="true">
      <alignment horizontal="general" vertical="center" textRotation="0" wrapText="true" indent="0" shrinkToFit="false"/>
      <protection locked="true" hidden="false"/>
    </xf>
    <xf numFmtId="166" fontId="13" fillId="3" borderId="6" xfId="0" applyFont="true" applyBorder="true" applyAlignment="true" applyProtection="true">
      <alignment horizontal="general" vertical="center" textRotation="0" wrapText="true" indent="0" shrinkToFit="false"/>
      <protection locked="true" hidden="false"/>
    </xf>
    <xf numFmtId="164" fontId="13" fillId="3" borderId="7"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5" fontId="15"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6"/>
  <sheetViews>
    <sheetView showFormulas="false" showGridLines="true" showRowColHeaders="true" showZeros="true" rightToLeft="false" tabSelected="true" showOutlineSymbols="true" defaultGridColor="true" view="normal" topLeftCell="A1" colorId="64" zoomScale="40" zoomScaleNormal="40" zoomScalePageLayoutView="100" workbookViewId="0">
      <selection pane="topLeft" activeCell="A1" activeCellId="0" sqref="A1:T26"/>
    </sheetView>
  </sheetViews>
  <sheetFormatPr defaultColWidth="8.59765625" defaultRowHeight="12.8" zeroHeight="false" outlineLevelRow="0" outlineLevelCol="0"/>
  <cols>
    <col collapsed="false" customWidth="true" hidden="false" outlineLevel="0" max="1" min="1" style="1" width="7.57"/>
    <col collapsed="false" customWidth="true" hidden="false" outlineLevel="0" max="2" min="2" style="1" width="22.57"/>
    <col collapsed="false" customWidth="true" hidden="false" outlineLevel="0" max="3" min="3" style="1" width="21.3"/>
    <col collapsed="false" customWidth="true" hidden="false" outlineLevel="0" max="4" min="4" style="1" width="69.86"/>
    <col collapsed="false" customWidth="true" hidden="false" outlineLevel="0" max="5" min="5" style="1" width="38.7"/>
    <col collapsed="false" customWidth="true" hidden="false" outlineLevel="0" max="6" min="6" style="1" width="34.29"/>
    <col collapsed="false" customWidth="true" hidden="false" outlineLevel="0" max="7" min="7" style="1" width="31.57"/>
    <col collapsed="false" customWidth="true" hidden="false" outlineLevel="0" max="8" min="8" style="1" width="30.86"/>
    <col collapsed="false" customWidth="true" hidden="false" outlineLevel="0" max="9" min="9" style="1" width="27.86"/>
    <col collapsed="false" customWidth="true" hidden="false" outlineLevel="0" max="10" min="10" style="1" width="18.43"/>
    <col collapsed="false" customWidth="true" hidden="false" outlineLevel="0" max="11" min="11" style="1" width="19.43"/>
    <col collapsed="false" customWidth="true" hidden="false" outlineLevel="0" max="12" min="12" style="1" width="15.86"/>
    <col collapsed="false" customWidth="true" hidden="false" outlineLevel="0" max="13" min="13" style="1" width="21.57"/>
    <col collapsed="false" customWidth="true" hidden="false" outlineLevel="0" max="14" min="14" style="1" width="18.14"/>
    <col collapsed="false" customWidth="true" hidden="false" outlineLevel="0" max="15" min="15" style="1" width="25.71"/>
    <col collapsed="false" customWidth="true" hidden="false" outlineLevel="0" max="16" min="16" style="1" width="18.43"/>
    <col collapsed="false" customWidth="true" hidden="false" outlineLevel="0" max="17" min="17" style="1" width="61"/>
    <col collapsed="false" customWidth="true" hidden="false" outlineLevel="0" max="18" min="18" style="2" width="52.72"/>
    <col collapsed="false" customWidth="true" hidden="false" outlineLevel="0" max="19" min="19" style="1" width="36.29"/>
    <col collapsed="false" customWidth="true" hidden="false" outlineLevel="0" max="20" min="20" style="1" width="30.57"/>
  </cols>
  <sheetData>
    <row r="1" customFormat="false" ht="12.8" hidden="false" customHeight="true" outlineLevel="0" collapsed="false">
      <c r="A1" s="3" t="s">
        <v>0</v>
      </c>
      <c r="B1" s="3"/>
      <c r="C1" s="3"/>
      <c r="D1" s="3"/>
      <c r="E1" s="3"/>
      <c r="F1" s="3"/>
      <c r="G1" s="3"/>
      <c r="H1" s="3"/>
      <c r="I1" s="3"/>
      <c r="J1" s="3"/>
      <c r="K1" s="3"/>
      <c r="L1" s="3"/>
      <c r="M1" s="3"/>
      <c r="N1" s="3"/>
      <c r="O1" s="3"/>
      <c r="P1" s="3"/>
      <c r="Q1" s="3"/>
      <c r="R1" s="3"/>
      <c r="S1" s="3"/>
      <c r="T1" s="3"/>
    </row>
    <row r="2" customFormat="false" ht="12.8" hidden="false" customHeight="true" outlineLevel="0" collapsed="false">
      <c r="A2" s="4" t="s">
        <v>1</v>
      </c>
      <c r="B2" s="4" t="s">
        <v>2</v>
      </c>
      <c r="C2" s="4" t="s">
        <v>3</v>
      </c>
      <c r="D2" s="4" t="s">
        <v>4</v>
      </c>
      <c r="E2" s="4"/>
      <c r="F2" s="4"/>
      <c r="G2" s="4" t="s">
        <v>5</v>
      </c>
      <c r="H2" s="4"/>
      <c r="I2" s="4" t="s">
        <v>6</v>
      </c>
      <c r="J2" s="4"/>
      <c r="K2" s="4"/>
      <c r="L2" s="4" t="s">
        <v>7</v>
      </c>
      <c r="M2" s="4"/>
      <c r="N2" s="4"/>
      <c r="O2" s="4" t="s">
        <v>8</v>
      </c>
      <c r="P2" s="4" t="s">
        <v>9</v>
      </c>
      <c r="Q2" s="4" t="s">
        <v>10</v>
      </c>
      <c r="R2" s="4" t="s">
        <v>11</v>
      </c>
      <c r="S2" s="4" t="s">
        <v>12</v>
      </c>
      <c r="T2" s="4"/>
    </row>
    <row r="3" customFormat="false" ht="12.8" hidden="false" customHeight="true" outlineLevel="0" collapsed="false">
      <c r="A3" s="4"/>
      <c r="B3" s="4"/>
      <c r="C3" s="4"/>
      <c r="D3" s="4" t="s">
        <v>13</v>
      </c>
      <c r="E3" s="4" t="s">
        <v>14</v>
      </c>
      <c r="F3" s="4" t="s">
        <v>15</v>
      </c>
      <c r="G3" s="4" t="s">
        <v>16</v>
      </c>
      <c r="H3" s="4" t="s">
        <v>15</v>
      </c>
      <c r="I3" s="4" t="s">
        <v>17</v>
      </c>
      <c r="J3" s="4" t="s">
        <v>18</v>
      </c>
      <c r="K3" s="4" t="s">
        <v>19</v>
      </c>
      <c r="L3" s="4" t="s">
        <v>20</v>
      </c>
      <c r="M3" s="4" t="s">
        <v>21</v>
      </c>
      <c r="N3" s="4" t="s">
        <v>22</v>
      </c>
      <c r="O3" s="4"/>
      <c r="P3" s="4"/>
      <c r="Q3" s="4"/>
      <c r="R3" s="4"/>
      <c r="S3" s="4" t="s">
        <v>23</v>
      </c>
      <c r="T3" s="4" t="s">
        <v>24</v>
      </c>
    </row>
    <row r="4" customFormat="false" ht="12.8" hidden="false" customHeight="true" outlineLevel="0" collapsed="false">
      <c r="A4" s="5" t="n">
        <v>1</v>
      </c>
      <c r="B4" s="6" t="s">
        <v>25</v>
      </c>
      <c r="C4" s="7" t="s">
        <v>26</v>
      </c>
      <c r="D4" s="8" t="s">
        <v>27</v>
      </c>
      <c r="E4" s="8" t="s">
        <v>28</v>
      </c>
      <c r="F4" s="8" t="s">
        <v>29</v>
      </c>
      <c r="G4" s="8" t="s">
        <v>27</v>
      </c>
      <c r="H4" s="8" t="s">
        <v>27</v>
      </c>
      <c r="I4" s="7" t="s">
        <v>30</v>
      </c>
      <c r="J4" s="5" t="s">
        <v>31</v>
      </c>
      <c r="K4" s="8" t="s">
        <v>27</v>
      </c>
      <c r="L4" s="5" t="n">
        <v>0</v>
      </c>
      <c r="M4" s="5" t="n">
        <v>113954</v>
      </c>
      <c r="N4" s="5" t="n">
        <f aca="false">L4+M4</f>
        <v>113954</v>
      </c>
      <c r="O4" s="5" t="s">
        <v>32</v>
      </c>
      <c r="P4" s="5" t="n">
        <v>130</v>
      </c>
      <c r="Q4" s="5" t="s">
        <v>33</v>
      </c>
      <c r="R4" s="9" t="s">
        <v>34</v>
      </c>
      <c r="S4" s="8" t="s">
        <v>27</v>
      </c>
      <c r="T4" s="8" t="s">
        <v>27</v>
      </c>
    </row>
    <row r="5" customFormat="false" ht="12.8" hidden="false" customHeight="true" outlineLevel="0" collapsed="false">
      <c r="A5" s="5" t="n">
        <v>2</v>
      </c>
      <c r="B5" s="6" t="s">
        <v>25</v>
      </c>
      <c r="C5" s="7" t="s">
        <v>26</v>
      </c>
      <c r="D5" s="8" t="s">
        <v>27</v>
      </c>
      <c r="E5" s="5" t="s">
        <v>28</v>
      </c>
      <c r="F5" s="5" t="s">
        <v>29</v>
      </c>
      <c r="G5" s="8" t="s">
        <v>27</v>
      </c>
      <c r="H5" s="8" t="s">
        <v>27</v>
      </c>
      <c r="I5" s="5" t="s">
        <v>35</v>
      </c>
      <c r="J5" s="5" t="s">
        <v>31</v>
      </c>
      <c r="K5" s="8" t="s">
        <v>27</v>
      </c>
      <c r="L5" s="5" t="n">
        <v>0</v>
      </c>
      <c r="M5" s="5" t="n">
        <v>332369</v>
      </c>
      <c r="N5" s="5" t="n">
        <f aca="false">L5+M5</f>
        <v>332369</v>
      </c>
      <c r="O5" s="5" t="s">
        <v>36</v>
      </c>
      <c r="P5" s="5" t="n">
        <v>130</v>
      </c>
      <c r="Q5" s="5" t="s">
        <v>33</v>
      </c>
      <c r="R5" s="9" t="s">
        <v>34</v>
      </c>
      <c r="S5" s="8" t="s">
        <v>27</v>
      </c>
      <c r="T5" s="8" t="s">
        <v>27</v>
      </c>
    </row>
    <row r="6" customFormat="false" ht="12.8" hidden="false" customHeight="true" outlineLevel="0" collapsed="false">
      <c r="A6" s="5" t="n">
        <v>3</v>
      </c>
      <c r="B6" s="6" t="s">
        <v>25</v>
      </c>
      <c r="C6" s="7" t="s">
        <v>26</v>
      </c>
      <c r="D6" s="8" t="n">
        <v>641335383279</v>
      </c>
      <c r="E6" s="5" t="s">
        <v>37</v>
      </c>
      <c r="F6" s="5" t="s">
        <v>38</v>
      </c>
      <c r="G6" s="5" t="s">
        <v>39</v>
      </c>
      <c r="H6" s="5" t="s">
        <v>40</v>
      </c>
      <c r="I6" s="5" t="s">
        <v>41</v>
      </c>
      <c r="J6" s="5" t="s">
        <v>42</v>
      </c>
      <c r="K6" s="8" t="s">
        <v>27</v>
      </c>
      <c r="L6" s="5" t="n">
        <v>0</v>
      </c>
      <c r="M6" s="5" t="n">
        <v>602910</v>
      </c>
      <c r="N6" s="5" t="n">
        <f aca="false">L6+M6</f>
        <v>602910</v>
      </c>
      <c r="O6" s="5" t="s">
        <v>43</v>
      </c>
      <c r="P6" s="5" t="n">
        <v>130</v>
      </c>
      <c r="Q6" s="5" t="s">
        <v>44</v>
      </c>
      <c r="R6" s="9" t="s">
        <v>34</v>
      </c>
      <c r="S6" s="8" t="s">
        <v>27</v>
      </c>
      <c r="T6" s="8" t="s">
        <v>27</v>
      </c>
    </row>
    <row r="7" customFormat="false" ht="12.8" hidden="false" customHeight="true" outlineLevel="0" collapsed="false">
      <c r="A7" s="5" t="n">
        <v>4</v>
      </c>
      <c r="B7" s="6" t="s">
        <v>25</v>
      </c>
      <c r="C7" s="7" t="s">
        <v>26</v>
      </c>
      <c r="D7" s="8" t="n">
        <v>601353940869</v>
      </c>
      <c r="E7" s="5" t="s">
        <v>45</v>
      </c>
      <c r="F7" s="5" t="s">
        <v>46</v>
      </c>
      <c r="G7" s="5" t="s">
        <v>47</v>
      </c>
      <c r="H7" s="5" t="s">
        <v>48</v>
      </c>
      <c r="I7" s="5" t="s">
        <v>49</v>
      </c>
      <c r="J7" s="5" t="s">
        <v>50</v>
      </c>
      <c r="K7" s="8" t="s">
        <v>27</v>
      </c>
      <c r="L7" s="5" t="n">
        <v>1210536</v>
      </c>
      <c r="M7" s="5" t="n">
        <v>9146272</v>
      </c>
      <c r="N7" s="5" t="n">
        <f aca="false">L7+M7</f>
        <v>10356808</v>
      </c>
      <c r="O7" s="5" t="s">
        <v>51</v>
      </c>
      <c r="P7" s="5" t="n">
        <v>130</v>
      </c>
      <c r="Q7" s="5" t="s">
        <v>52</v>
      </c>
      <c r="R7" s="9" t="s">
        <v>53</v>
      </c>
      <c r="S7" s="8" t="s">
        <v>27</v>
      </c>
      <c r="T7" s="8" t="s">
        <v>27</v>
      </c>
    </row>
    <row r="8" customFormat="false" ht="12.8" hidden="false" customHeight="true" outlineLevel="0" collapsed="false">
      <c r="A8" s="5" t="n">
        <v>5</v>
      </c>
      <c r="B8" s="6" t="s">
        <v>25</v>
      </c>
      <c r="C8" s="7" t="s">
        <v>26</v>
      </c>
      <c r="D8" s="8" t="n">
        <v>661353673257</v>
      </c>
      <c r="E8" s="5" t="s">
        <v>54</v>
      </c>
      <c r="F8" s="5" t="s">
        <v>55</v>
      </c>
      <c r="G8" s="5" t="s">
        <v>47</v>
      </c>
      <c r="H8" s="5" t="s">
        <v>48</v>
      </c>
      <c r="I8" s="5" t="s">
        <v>56</v>
      </c>
      <c r="J8" s="5" t="s">
        <v>50</v>
      </c>
      <c r="K8" s="10" t="n">
        <v>44815</v>
      </c>
      <c r="L8" s="5" t="n">
        <v>299886</v>
      </c>
      <c r="M8" s="5" t="n">
        <v>1965922</v>
      </c>
      <c r="N8" s="5" t="n">
        <f aca="false">L8+M8</f>
        <v>2265808</v>
      </c>
      <c r="O8" s="5" t="s">
        <v>51</v>
      </c>
      <c r="P8" s="5" t="n">
        <v>130</v>
      </c>
      <c r="Q8" s="5" t="s">
        <v>57</v>
      </c>
      <c r="R8" s="9" t="s">
        <v>58</v>
      </c>
      <c r="S8" s="8" t="s">
        <v>27</v>
      </c>
      <c r="T8" s="8" t="s">
        <v>27</v>
      </c>
    </row>
    <row r="9" customFormat="false" ht="12.8" hidden="false" customHeight="true" outlineLevel="0" collapsed="false">
      <c r="A9" s="5" t="n">
        <v>6</v>
      </c>
      <c r="B9" s="6" t="s">
        <v>25</v>
      </c>
      <c r="C9" s="7" t="s">
        <v>26</v>
      </c>
      <c r="D9" s="8" t="n">
        <v>651365990141</v>
      </c>
      <c r="E9" s="5" t="s">
        <v>59</v>
      </c>
      <c r="F9" s="5" t="s">
        <v>60</v>
      </c>
      <c r="G9" s="5" t="s">
        <v>61</v>
      </c>
      <c r="H9" s="5" t="s">
        <v>62</v>
      </c>
      <c r="I9" s="5" t="s">
        <v>63</v>
      </c>
      <c r="J9" s="5" t="s">
        <v>64</v>
      </c>
      <c r="K9" s="8" t="s">
        <v>27</v>
      </c>
      <c r="L9" s="5" t="n">
        <v>0</v>
      </c>
      <c r="M9" s="5" t="n">
        <v>562864</v>
      </c>
      <c r="N9" s="5" t="n">
        <f aca="false">L9+M9</f>
        <v>562864</v>
      </c>
      <c r="O9" s="5" t="s">
        <v>51</v>
      </c>
      <c r="P9" s="5" t="n">
        <v>130</v>
      </c>
      <c r="Q9" s="5" t="s">
        <v>65</v>
      </c>
      <c r="R9" s="9" t="s">
        <v>34</v>
      </c>
      <c r="S9" s="8" t="s">
        <v>27</v>
      </c>
      <c r="T9" s="8" t="s">
        <v>27</v>
      </c>
    </row>
    <row r="10" customFormat="false" ht="12.8" hidden="false" customHeight="true" outlineLevel="0" collapsed="false">
      <c r="A10" s="5" t="n">
        <v>7</v>
      </c>
      <c r="B10" s="6" t="s">
        <v>25</v>
      </c>
      <c r="C10" s="7" t="s">
        <v>26</v>
      </c>
      <c r="D10" s="8" t="s">
        <v>27</v>
      </c>
      <c r="E10" s="8" t="s">
        <v>27</v>
      </c>
      <c r="F10" s="8" t="s">
        <v>66</v>
      </c>
      <c r="G10" s="8" t="s">
        <v>27</v>
      </c>
      <c r="H10" s="8" t="s">
        <v>66</v>
      </c>
      <c r="I10" s="8" t="s">
        <v>67</v>
      </c>
      <c r="J10" s="10" t="n">
        <v>44565</v>
      </c>
      <c r="K10" s="8" t="s">
        <v>27</v>
      </c>
      <c r="L10" s="8" t="n">
        <v>0</v>
      </c>
      <c r="M10" s="8" t="n">
        <f aca="false">4870*660*18/100</f>
        <v>578556</v>
      </c>
      <c r="N10" s="8" t="n">
        <f aca="false">L10+M10</f>
        <v>578556</v>
      </c>
      <c r="O10" s="8" t="s">
        <v>51</v>
      </c>
      <c r="P10" s="8" t="n">
        <v>130</v>
      </c>
      <c r="Q10" s="8" t="s">
        <v>68</v>
      </c>
      <c r="R10" s="11" t="s">
        <v>34</v>
      </c>
      <c r="S10" s="8" t="s">
        <v>27</v>
      </c>
      <c r="T10" s="8" t="s">
        <v>27</v>
      </c>
    </row>
    <row r="11" customFormat="false" ht="12.8" hidden="false" customHeight="true" outlineLevel="0" collapsed="false">
      <c r="A11" s="5" t="n">
        <v>8</v>
      </c>
      <c r="B11" s="6" t="s">
        <v>25</v>
      </c>
      <c r="C11" s="7" t="s">
        <v>26</v>
      </c>
      <c r="D11" s="8" t="s">
        <v>27</v>
      </c>
      <c r="E11" s="8" t="s">
        <v>27</v>
      </c>
      <c r="F11" s="8" t="s">
        <v>27</v>
      </c>
      <c r="G11" s="8" t="s">
        <v>27</v>
      </c>
      <c r="H11" s="8" t="s">
        <v>27</v>
      </c>
      <c r="I11" s="8" t="s">
        <v>69</v>
      </c>
      <c r="J11" s="12" t="n">
        <v>45448</v>
      </c>
      <c r="K11" s="8" t="s">
        <v>27</v>
      </c>
      <c r="L11" s="8" t="n">
        <v>0</v>
      </c>
      <c r="M11" s="8" t="n">
        <v>0</v>
      </c>
      <c r="N11" s="8" t="n">
        <f aca="false">L11+M11</f>
        <v>0</v>
      </c>
      <c r="O11" s="8" t="s">
        <v>70</v>
      </c>
      <c r="P11" s="5" t="s">
        <v>27</v>
      </c>
      <c r="Q11" s="8" t="s">
        <v>71</v>
      </c>
      <c r="R11" s="11" t="s">
        <v>72</v>
      </c>
      <c r="S11" s="8" t="s">
        <v>27</v>
      </c>
      <c r="T11" s="8" t="s">
        <v>27</v>
      </c>
    </row>
    <row r="12" customFormat="false" ht="12.8" hidden="false" customHeight="true" outlineLevel="0" collapsed="false">
      <c r="A12" s="5" t="n">
        <v>9</v>
      </c>
      <c r="B12" s="6" t="s">
        <v>25</v>
      </c>
      <c r="C12" s="7" t="s">
        <v>26</v>
      </c>
      <c r="D12" s="8" t="s">
        <v>27</v>
      </c>
      <c r="E12" s="8" t="s">
        <v>27</v>
      </c>
      <c r="F12" s="8" t="s">
        <v>27</v>
      </c>
      <c r="G12" s="8" t="s">
        <v>27</v>
      </c>
      <c r="H12" s="8" t="s">
        <v>27</v>
      </c>
      <c r="I12" s="8" t="s">
        <v>73</v>
      </c>
      <c r="J12" s="12" t="s">
        <v>74</v>
      </c>
      <c r="K12" s="8" t="s">
        <v>27</v>
      </c>
      <c r="L12" s="8" t="n">
        <v>0</v>
      </c>
      <c r="M12" s="8" t="n">
        <f aca="false">340880+166000</f>
        <v>506880</v>
      </c>
      <c r="N12" s="8" t="n">
        <f aca="false">L12+M12</f>
        <v>506880</v>
      </c>
      <c r="O12" s="8" t="s">
        <v>75</v>
      </c>
      <c r="P12" s="5" t="n">
        <v>130</v>
      </c>
      <c r="Q12" s="8" t="s">
        <v>76</v>
      </c>
      <c r="R12" s="8" t="s">
        <v>77</v>
      </c>
      <c r="S12" s="8" t="s">
        <v>27</v>
      </c>
      <c r="T12" s="8" t="s">
        <v>27</v>
      </c>
    </row>
    <row r="13" customFormat="false" ht="12.8" hidden="false" customHeight="true" outlineLevel="0" collapsed="false">
      <c r="A13" s="5" t="n">
        <v>10</v>
      </c>
      <c r="B13" s="6" t="s">
        <v>25</v>
      </c>
      <c r="C13" s="7" t="s">
        <v>26</v>
      </c>
      <c r="D13" s="8" t="s">
        <v>27</v>
      </c>
      <c r="E13" s="8" t="s">
        <v>27</v>
      </c>
      <c r="F13" s="8" t="s">
        <v>27</v>
      </c>
      <c r="G13" s="8" t="s">
        <v>27</v>
      </c>
      <c r="H13" s="8" t="s">
        <v>27</v>
      </c>
      <c r="I13" s="13" t="s">
        <v>78</v>
      </c>
      <c r="J13" s="14" t="s">
        <v>79</v>
      </c>
      <c r="K13" s="10" t="n">
        <v>45576</v>
      </c>
      <c r="L13" s="8" t="n">
        <v>0</v>
      </c>
      <c r="M13" s="8" t="n">
        <v>282932</v>
      </c>
      <c r="N13" s="8" t="n">
        <v>282932</v>
      </c>
      <c r="O13" s="5" t="s">
        <v>80</v>
      </c>
      <c r="P13" s="5" t="n">
        <v>130</v>
      </c>
      <c r="Q13" s="15" t="s">
        <v>81</v>
      </c>
      <c r="R13" s="5" t="s">
        <v>82</v>
      </c>
      <c r="S13" s="8" t="s">
        <v>27</v>
      </c>
      <c r="T13" s="8" t="s">
        <v>27</v>
      </c>
    </row>
    <row r="14" customFormat="false" ht="12.8" hidden="false" customHeight="true" outlineLevel="0" collapsed="false">
      <c r="A14" s="5" t="n">
        <v>11</v>
      </c>
      <c r="B14" s="6" t="s">
        <v>25</v>
      </c>
      <c r="C14" s="7" t="s">
        <v>26</v>
      </c>
      <c r="D14" s="8" t="s">
        <v>27</v>
      </c>
      <c r="E14" s="8" t="s">
        <v>27</v>
      </c>
      <c r="F14" s="8" t="s">
        <v>27</v>
      </c>
      <c r="G14" s="8" t="s">
        <v>27</v>
      </c>
      <c r="H14" s="8" t="s">
        <v>27</v>
      </c>
      <c r="I14" s="13" t="s">
        <v>83</v>
      </c>
      <c r="J14" s="14" t="s">
        <v>79</v>
      </c>
      <c r="K14" s="5" t="s">
        <v>84</v>
      </c>
      <c r="L14" s="8" t="n">
        <v>0</v>
      </c>
      <c r="M14" s="8" t="n">
        <v>366614</v>
      </c>
      <c r="N14" s="8" t="n">
        <v>366614</v>
      </c>
      <c r="O14" s="5" t="s">
        <v>85</v>
      </c>
      <c r="P14" s="5" t="n">
        <v>130</v>
      </c>
      <c r="Q14" s="15" t="s">
        <v>86</v>
      </c>
      <c r="R14" s="5" t="s">
        <v>87</v>
      </c>
      <c r="S14" s="8" t="s">
        <v>27</v>
      </c>
      <c r="T14" s="8" t="s">
        <v>27</v>
      </c>
    </row>
    <row r="15" customFormat="false" ht="12.8" hidden="false" customHeight="true" outlineLevel="0" collapsed="false">
      <c r="A15" s="5" t="n">
        <v>12</v>
      </c>
      <c r="B15" s="16" t="s">
        <v>25</v>
      </c>
      <c r="C15" s="7" t="s">
        <v>26</v>
      </c>
      <c r="D15" s="17" t="n">
        <v>241809310640</v>
      </c>
      <c r="E15" s="18" t="s">
        <v>88</v>
      </c>
      <c r="F15" s="18" t="s">
        <v>89</v>
      </c>
      <c r="G15" s="18" t="s">
        <v>90</v>
      </c>
      <c r="H15" s="18" t="s">
        <v>91</v>
      </c>
      <c r="I15" s="18" t="s">
        <v>92</v>
      </c>
      <c r="J15" s="19" t="s">
        <v>93</v>
      </c>
      <c r="K15" s="19" t="s">
        <v>94</v>
      </c>
      <c r="L15" s="18" t="n">
        <v>0</v>
      </c>
      <c r="M15" s="18" t="n">
        <v>0</v>
      </c>
      <c r="N15" s="18" t="n">
        <v>74100</v>
      </c>
      <c r="O15" s="18" t="s">
        <v>95</v>
      </c>
      <c r="P15" s="18" t="n">
        <v>130</v>
      </c>
      <c r="Q15" s="18" t="s">
        <v>96</v>
      </c>
      <c r="R15" s="18" t="s">
        <v>97</v>
      </c>
      <c r="S15" s="8" t="s">
        <v>27</v>
      </c>
      <c r="T15" s="8" t="s">
        <v>27</v>
      </c>
    </row>
    <row r="16" customFormat="false" ht="12.8" hidden="false" customHeight="true" outlineLevel="0" collapsed="false">
      <c r="A16" s="5" t="n">
        <v>13</v>
      </c>
      <c r="B16" s="6" t="s">
        <v>25</v>
      </c>
      <c r="C16" s="7" t="s">
        <v>26</v>
      </c>
      <c r="D16" s="17" t="n">
        <v>511717451521</v>
      </c>
      <c r="E16" s="18" t="s">
        <v>98</v>
      </c>
      <c r="F16" s="18" t="s">
        <v>99</v>
      </c>
      <c r="G16" s="18" t="s">
        <v>100</v>
      </c>
      <c r="H16" s="18" t="s">
        <v>101</v>
      </c>
      <c r="I16" s="13" t="s">
        <v>102</v>
      </c>
      <c r="J16" s="14" t="n">
        <v>45636</v>
      </c>
      <c r="K16" s="5" t="s">
        <v>103</v>
      </c>
      <c r="L16" s="18" t="n">
        <v>0</v>
      </c>
      <c r="M16" s="8" t="n">
        <v>142029</v>
      </c>
      <c r="N16" s="8" t="n">
        <v>142029</v>
      </c>
      <c r="O16" s="5" t="s">
        <v>104</v>
      </c>
      <c r="P16" s="5" t="n">
        <v>130</v>
      </c>
      <c r="Q16" s="15" t="s">
        <v>105</v>
      </c>
      <c r="R16" s="5" t="s">
        <v>106</v>
      </c>
      <c r="S16" s="8" t="s">
        <v>27</v>
      </c>
      <c r="T16" s="8" t="s">
        <v>27</v>
      </c>
    </row>
    <row r="17" customFormat="false" ht="12.8" hidden="false" customHeight="true" outlineLevel="0" collapsed="false">
      <c r="A17" s="5" t="n">
        <v>14</v>
      </c>
      <c r="B17" s="6" t="s">
        <v>25</v>
      </c>
      <c r="C17" s="7" t="s">
        <v>26</v>
      </c>
      <c r="D17" s="8" t="s">
        <v>27</v>
      </c>
      <c r="E17" s="5" t="s">
        <v>107</v>
      </c>
      <c r="F17" s="5" t="s">
        <v>108</v>
      </c>
      <c r="G17" s="5" t="s">
        <v>109</v>
      </c>
      <c r="H17" s="5" t="s">
        <v>110</v>
      </c>
      <c r="I17" s="13" t="s">
        <v>111</v>
      </c>
      <c r="J17" s="14" t="n">
        <v>45607</v>
      </c>
      <c r="K17" s="8" t="s">
        <v>27</v>
      </c>
      <c r="L17" s="18" t="n">
        <v>0</v>
      </c>
      <c r="M17" s="8" t="s">
        <v>112</v>
      </c>
      <c r="N17" s="8" t="s">
        <v>113</v>
      </c>
      <c r="O17" s="5" t="s">
        <v>114</v>
      </c>
      <c r="P17" s="20" t="n">
        <v>130</v>
      </c>
      <c r="Q17" s="8" t="s">
        <v>115</v>
      </c>
      <c r="R17" s="5" t="s">
        <v>116</v>
      </c>
      <c r="S17" s="8" t="s">
        <v>27</v>
      </c>
      <c r="T17" s="8" t="s">
        <v>27</v>
      </c>
    </row>
    <row r="18" customFormat="false" ht="12.8" hidden="false" customHeight="true" outlineLevel="0" collapsed="false">
      <c r="A18" s="5" t="n">
        <v>15</v>
      </c>
      <c r="B18" s="6" t="s">
        <v>25</v>
      </c>
      <c r="C18" s="7" t="s">
        <v>26</v>
      </c>
      <c r="D18" s="8" t="s">
        <v>27</v>
      </c>
      <c r="E18" s="8" t="s">
        <v>27</v>
      </c>
      <c r="F18" s="8" t="s">
        <v>27</v>
      </c>
      <c r="G18" s="8" t="s">
        <v>27</v>
      </c>
      <c r="H18" s="8" t="s">
        <v>27</v>
      </c>
      <c r="I18" s="13" t="s">
        <v>117</v>
      </c>
      <c r="J18" s="14" t="n">
        <v>45839</v>
      </c>
      <c r="K18" s="5" t="s">
        <v>118</v>
      </c>
      <c r="L18" s="18" t="n">
        <v>0</v>
      </c>
      <c r="M18" s="8" t="n">
        <v>89625</v>
      </c>
      <c r="N18" s="8" t="n">
        <v>89625</v>
      </c>
      <c r="O18" s="5" t="s">
        <v>119</v>
      </c>
      <c r="P18" s="5" t="n">
        <v>130</v>
      </c>
      <c r="Q18" s="5" t="s">
        <v>120</v>
      </c>
      <c r="R18" s="5" t="s">
        <v>121</v>
      </c>
      <c r="S18" s="8" t="s">
        <v>27</v>
      </c>
      <c r="T18" s="8" t="s">
        <v>27</v>
      </c>
    </row>
    <row r="19" customFormat="false" ht="12.8" hidden="false" customHeight="true" outlineLevel="0" collapsed="false">
      <c r="A19" s="5" t="n">
        <v>16</v>
      </c>
      <c r="B19" s="6" t="s">
        <v>25</v>
      </c>
      <c r="C19" s="7" t="s">
        <v>26</v>
      </c>
      <c r="D19" s="8" t="s">
        <v>27</v>
      </c>
      <c r="E19" s="8" t="s">
        <v>27</v>
      </c>
      <c r="F19" s="8" t="s">
        <v>27</v>
      </c>
      <c r="G19" s="8" t="s">
        <v>27</v>
      </c>
      <c r="H19" s="8" t="s">
        <v>27</v>
      </c>
      <c r="I19" s="13" t="s">
        <v>122</v>
      </c>
      <c r="J19" s="14" t="s">
        <v>123</v>
      </c>
      <c r="K19" s="5" t="s">
        <v>118</v>
      </c>
      <c r="L19" s="18" t="n">
        <v>0</v>
      </c>
      <c r="M19" s="8" t="n">
        <v>226755</v>
      </c>
      <c r="N19" s="8" t="n">
        <v>226755</v>
      </c>
      <c r="O19" s="5" t="s">
        <v>85</v>
      </c>
      <c r="P19" s="5" t="n">
        <v>130</v>
      </c>
      <c r="Q19" s="5" t="s">
        <v>124</v>
      </c>
      <c r="R19" s="5" t="s">
        <v>125</v>
      </c>
      <c r="S19" s="8" t="s">
        <v>27</v>
      </c>
      <c r="T19" s="8" t="s">
        <v>27</v>
      </c>
    </row>
    <row r="20" customFormat="false" ht="12.8" hidden="false" customHeight="true" outlineLevel="0" collapsed="false">
      <c r="A20" s="5" t="n">
        <v>17</v>
      </c>
      <c r="B20" s="6" t="s">
        <v>25</v>
      </c>
      <c r="C20" s="7" t="s">
        <v>26</v>
      </c>
      <c r="D20" s="8" t="n">
        <v>201908024497</v>
      </c>
      <c r="E20" s="8" t="s">
        <v>126</v>
      </c>
      <c r="F20" s="8" t="s">
        <v>127</v>
      </c>
      <c r="G20" s="8" t="s">
        <v>128</v>
      </c>
      <c r="H20" s="8" t="s">
        <v>129</v>
      </c>
      <c r="I20" s="13" t="s">
        <v>130</v>
      </c>
      <c r="J20" s="14" t="n">
        <v>45701</v>
      </c>
      <c r="K20" s="8" t="s">
        <v>27</v>
      </c>
      <c r="L20" s="8" t="n">
        <v>0</v>
      </c>
      <c r="M20" s="8" t="n">
        <v>0</v>
      </c>
      <c r="N20" s="8" t="n">
        <f aca="false">L20+M20</f>
        <v>0</v>
      </c>
      <c r="O20" s="5" t="s">
        <v>131</v>
      </c>
      <c r="P20" s="5" t="n">
        <v>130</v>
      </c>
      <c r="Q20" s="8" t="s">
        <v>115</v>
      </c>
      <c r="R20" s="5" t="s">
        <v>132</v>
      </c>
      <c r="S20" s="21" t="s">
        <v>133</v>
      </c>
      <c r="T20" s="22" t="s">
        <v>66</v>
      </c>
    </row>
    <row r="21" customFormat="false" ht="12.8" hidden="false" customHeight="true" outlineLevel="0" collapsed="false">
      <c r="A21" s="5" t="n">
        <v>19</v>
      </c>
      <c r="B21" s="5" t="s">
        <v>25</v>
      </c>
      <c r="C21" s="5" t="s">
        <v>26</v>
      </c>
      <c r="D21" s="8" t="n">
        <v>231919226510</v>
      </c>
      <c r="E21" s="5" t="s">
        <v>134</v>
      </c>
      <c r="F21" s="5" t="s">
        <v>135</v>
      </c>
      <c r="G21" s="5" t="s">
        <v>128</v>
      </c>
      <c r="H21" s="5" t="s">
        <v>129</v>
      </c>
      <c r="I21" s="5" t="s">
        <v>136</v>
      </c>
      <c r="J21" s="10" t="n">
        <v>45720</v>
      </c>
      <c r="K21" s="8" t="s">
        <v>27</v>
      </c>
      <c r="L21" s="5" t="n">
        <v>0</v>
      </c>
      <c r="M21" s="5" t="n">
        <v>0</v>
      </c>
      <c r="N21" s="5" t="n">
        <v>0</v>
      </c>
      <c r="O21" s="5" t="s">
        <v>137</v>
      </c>
      <c r="P21" s="8" t="s">
        <v>27</v>
      </c>
      <c r="Q21" s="5" t="s">
        <v>115</v>
      </c>
      <c r="R21" s="5" t="s">
        <v>138</v>
      </c>
      <c r="S21" s="21" t="s">
        <v>133</v>
      </c>
      <c r="T21" s="22" t="s">
        <v>66</v>
      </c>
    </row>
    <row r="22" customFormat="false" ht="12.8" hidden="false" customHeight="true" outlineLevel="0" collapsed="false">
      <c r="A22" s="9" t="n">
        <v>26</v>
      </c>
      <c r="B22" s="5" t="s">
        <v>25</v>
      </c>
      <c r="C22" s="5" t="s">
        <v>26</v>
      </c>
      <c r="D22" s="8" t="n">
        <v>521781646718</v>
      </c>
      <c r="E22" s="23" t="s">
        <v>139</v>
      </c>
      <c r="F22" s="23" t="s">
        <v>140</v>
      </c>
      <c r="G22" s="23" t="s">
        <v>141</v>
      </c>
      <c r="H22" s="23" t="s">
        <v>142</v>
      </c>
      <c r="I22" s="23" t="s">
        <v>143</v>
      </c>
      <c r="J22" s="24" t="n">
        <v>45727</v>
      </c>
      <c r="K22" s="8" t="s">
        <v>27</v>
      </c>
      <c r="L22" s="5" t="n">
        <v>0</v>
      </c>
      <c r="M22" s="5" t="n">
        <v>0</v>
      </c>
      <c r="N22" s="5" t="n">
        <v>0</v>
      </c>
      <c r="O22" s="23" t="s">
        <v>144</v>
      </c>
      <c r="P22" s="8" t="s">
        <v>27</v>
      </c>
      <c r="Q22" s="5" t="s">
        <v>71</v>
      </c>
      <c r="R22" s="8" t="s">
        <v>27</v>
      </c>
      <c r="S22" s="21" t="s">
        <v>145</v>
      </c>
      <c r="T22" s="22" t="s">
        <v>146</v>
      </c>
    </row>
    <row r="23" customFormat="false" ht="12.8" hidden="false" customHeight="true" outlineLevel="0" collapsed="false">
      <c r="A23" s="25" t="n">
        <v>28</v>
      </c>
      <c r="B23" s="25" t="s">
        <v>25</v>
      </c>
      <c r="C23" s="25" t="s">
        <v>26</v>
      </c>
      <c r="D23" s="26" t="n">
        <v>691872249963</v>
      </c>
      <c r="E23" s="27" t="s">
        <v>147</v>
      </c>
      <c r="F23" s="27" t="s">
        <v>148</v>
      </c>
      <c r="G23" s="27" t="s">
        <v>149</v>
      </c>
      <c r="H23" s="27" t="s">
        <v>150</v>
      </c>
      <c r="I23" s="27" t="s">
        <v>151</v>
      </c>
      <c r="J23" s="28" t="n">
        <v>45729</v>
      </c>
      <c r="K23" s="26" t="s">
        <v>27</v>
      </c>
      <c r="L23" s="25" t="n">
        <v>0</v>
      </c>
      <c r="M23" s="25" t="n">
        <v>0</v>
      </c>
      <c r="N23" s="25" t="n">
        <v>0</v>
      </c>
      <c r="O23" s="27" t="s">
        <v>152</v>
      </c>
      <c r="P23" s="26" t="s">
        <v>27</v>
      </c>
      <c r="Q23" s="25" t="s">
        <v>153</v>
      </c>
      <c r="R23" s="26" t="s">
        <v>27</v>
      </c>
      <c r="S23" s="29" t="s">
        <v>154</v>
      </c>
      <c r="T23" s="30" t="s">
        <v>155</v>
      </c>
    </row>
    <row r="24" customFormat="false" ht="12.8" hidden="false" customHeight="true" outlineLevel="0" collapsed="false">
      <c r="A24" s="25" t="n">
        <v>30</v>
      </c>
      <c r="B24" s="25" t="s">
        <v>25</v>
      </c>
      <c r="C24" s="25" t="s">
        <v>26</v>
      </c>
      <c r="D24" s="26" t="n">
        <v>211925235679</v>
      </c>
      <c r="E24" s="27" t="s">
        <v>156</v>
      </c>
      <c r="F24" s="27" t="s">
        <v>157</v>
      </c>
      <c r="G24" s="27" t="s">
        <v>158</v>
      </c>
      <c r="H24" s="27" t="s">
        <v>159</v>
      </c>
      <c r="I24" s="27" t="s">
        <v>160</v>
      </c>
      <c r="J24" s="28" t="n">
        <v>45730</v>
      </c>
      <c r="K24" s="26" t="s">
        <v>27</v>
      </c>
      <c r="L24" s="25" t="n">
        <v>0</v>
      </c>
      <c r="M24" s="25" t="n">
        <v>0</v>
      </c>
      <c r="N24" s="25" t="n">
        <v>0</v>
      </c>
      <c r="O24" s="27" t="s">
        <v>161</v>
      </c>
      <c r="P24" s="26" t="s">
        <v>27</v>
      </c>
      <c r="Q24" s="25" t="s">
        <v>162</v>
      </c>
      <c r="R24" s="26" t="s">
        <v>27</v>
      </c>
      <c r="S24" s="29" t="s">
        <v>163</v>
      </c>
      <c r="T24" s="30" t="s">
        <v>164</v>
      </c>
    </row>
    <row r="25" customFormat="false" ht="12.8" hidden="false" customHeight="true" outlineLevel="0" collapsed="false">
      <c r="A25" s="31" t="n">
        <v>32</v>
      </c>
      <c r="B25" s="32" t="s">
        <v>25</v>
      </c>
      <c r="C25" s="32" t="s">
        <v>26</v>
      </c>
      <c r="D25" s="33" t="s">
        <v>27</v>
      </c>
      <c r="E25" s="34" t="s">
        <v>27</v>
      </c>
      <c r="F25" s="34" t="s">
        <v>27</v>
      </c>
      <c r="G25" s="35" t="s">
        <v>27</v>
      </c>
      <c r="H25" s="34" t="s">
        <v>27</v>
      </c>
      <c r="I25" s="34" t="s">
        <v>165</v>
      </c>
      <c r="J25" s="36" t="n">
        <v>45733</v>
      </c>
      <c r="K25" s="37" t="s">
        <v>27</v>
      </c>
      <c r="L25" s="32" t="n">
        <v>0</v>
      </c>
      <c r="M25" s="32" t="n">
        <v>0</v>
      </c>
      <c r="N25" s="32" t="n">
        <v>0</v>
      </c>
      <c r="O25" s="38" t="s">
        <v>166</v>
      </c>
      <c r="P25" s="37" t="s">
        <v>27</v>
      </c>
      <c r="Q25" s="32" t="s">
        <v>162</v>
      </c>
      <c r="R25" s="37" t="s">
        <v>27</v>
      </c>
      <c r="S25" s="39" t="s">
        <v>133</v>
      </c>
      <c r="T25" s="40" t="s">
        <v>66</v>
      </c>
    </row>
    <row r="26" customFormat="false" ht="12.8" hidden="false" customHeight="true" outlineLevel="0" collapsed="false">
      <c r="A26" s="41" t="n">
        <v>33</v>
      </c>
      <c r="B26" s="32" t="s">
        <v>25</v>
      </c>
      <c r="C26" s="32" t="s">
        <v>26</v>
      </c>
      <c r="D26" s="33" t="s">
        <v>27</v>
      </c>
      <c r="E26" s="42" t="s">
        <v>167</v>
      </c>
      <c r="F26" s="43" t="s">
        <v>168</v>
      </c>
      <c r="G26" s="43" t="s">
        <v>169</v>
      </c>
      <c r="H26" s="43" t="s">
        <v>170</v>
      </c>
      <c r="I26" s="43" t="s">
        <v>171</v>
      </c>
      <c r="J26" s="44" t="n">
        <v>45734</v>
      </c>
      <c r="K26" s="37" t="s">
        <v>27</v>
      </c>
      <c r="L26" s="32" t="n">
        <v>0</v>
      </c>
      <c r="M26" s="32" t="n">
        <v>0</v>
      </c>
      <c r="N26" s="32" t="n">
        <v>0</v>
      </c>
      <c r="O26" s="45" t="s">
        <v>172</v>
      </c>
      <c r="P26" s="37" t="s">
        <v>27</v>
      </c>
      <c r="Q26" s="32" t="s">
        <v>162</v>
      </c>
      <c r="R26" s="37" t="s">
        <v>27</v>
      </c>
      <c r="S26" s="39" t="s">
        <v>133</v>
      </c>
      <c r="T26" s="40" t="s">
        <v>66</v>
      </c>
    </row>
  </sheetData>
  <mergeCells count="13">
    <mergeCell ref="A1:T1"/>
    <mergeCell ref="A2:A3"/>
    <mergeCell ref="B2:B3"/>
    <mergeCell ref="C2:C3"/>
    <mergeCell ref="D2:F2"/>
    <mergeCell ref="G2:H2"/>
    <mergeCell ref="I2:K2"/>
    <mergeCell ref="L2:N2"/>
    <mergeCell ref="O2:O3"/>
    <mergeCell ref="P2:P3"/>
    <mergeCell ref="Q2:Q3"/>
    <mergeCell ref="R2:R3"/>
    <mergeCell ref="S2:T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T26"/>
    </sheetView>
  </sheetViews>
  <sheetFormatPr defaultColWidth="8.59765625" defaultRowHeight="15" zeroHeight="false" outlineLevelRow="0" outlineLevelCol="0"/>
  <cols>
    <col collapsed="false" customWidth="true" hidden="false" outlineLevel="0" max="2" min="2" style="1" width="13.43"/>
    <col collapsed="false" customWidth="true" hidden="false" outlineLevel="0" max="3" min="3" style="1" width="13.86"/>
    <col collapsed="false" customWidth="true" hidden="false" outlineLevel="0" max="4" min="4" style="1" width="18"/>
    <col collapsed="false" customWidth="true" hidden="false" outlineLevel="0" max="5" min="5" style="1" width="14.14"/>
    <col collapsed="false" customWidth="true" hidden="false" outlineLevel="0" max="6" min="6" style="1" width="21"/>
    <col collapsed="false" customWidth="true" hidden="false" outlineLevel="0" max="7" min="7" style="1" width="19.86"/>
    <col collapsed="false" customWidth="true" hidden="false" outlineLevel="0" max="8" min="8" style="1" width="20.14"/>
    <col collapsed="false" customWidth="true" hidden="false" outlineLevel="0" max="9" min="9" style="1" width="22.86"/>
  </cols>
  <sheetData>
    <row r="1" customFormat="false" ht="64.15" hidden="false" customHeight="false" outlineLevel="0" collapsed="false">
      <c r="A1" s="46" t="s">
        <v>173</v>
      </c>
      <c r="B1" s="46" t="s">
        <v>174</v>
      </c>
      <c r="C1" s="46" t="s">
        <v>175</v>
      </c>
      <c r="D1" s="46" t="s">
        <v>176</v>
      </c>
      <c r="E1" s="46" t="s">
        <v>177</v>
      </c>
      <c r="F1" s="46" t="s">
        <v>178</v>
      </c>
      <c r="G1" s="46" t="s">
        <v>179</v>
      </c>
      <c r="H1" s="46" t="s">
        <v>180</v>
      </c>
      <c r="I1" s="46" t="s">
        <v>181</v>
      </c>
    </row>
    <row r="2" customFormat="false" ht="64.15" hidden="false" customHeight="false" outlineLevel="0" collapsed="false">
      <c r="A2" s="46" t="n">
        <v>2</v>
      </c>
      <c r="B2" s="47" t="s">
        <v>25</v>
      </c>
      <c r="C2" s="47" t="s">
        <v>26</v>
      </c>
      <c r="D2" s="48" t="n">
        <v>590</v>
      </c>
      <c r="E2" s="48" t="n">
        <v>41</v>
      </c>
      <c r="F2" s="48" t="n">
        <v>0</v>
      </c>
      <c r="G2" s="48" t="n">
        <v>0</v>
      </c>
      <c r="H2" s="48" t="n">
        <v>0</v>
      </c>
      <c r="I2" s="48"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2025-03-06T05:17:27Z</dcterms:created>
  <dc:creator>acer</dc:creator>
  <dc:description/>
  <dc:language>en-IN</dc:language>
  <cp:lastModifiedBy/>
  <dcterms:modified xsi:type="dcterms:W3CDTF">2025-03-24T15:06:49Z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