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760" activeTab="1"/>
  </bookViews>
  <sheets>
    <sheet name="Sheet1" sheetId="1" r:id="rId1"/>
    <sheet name="Sheet2" sheetId="2"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 l="1"/>
  <c r="M12" i="1"/>
  <c r="N12" i="1" s="1"/>
  <c r="N11" i="1"/>
  <c r="M10" i="1"/>
  <c r="N10" i="1" s="1"/>
  <c r="N9" i="1"/>
  <c r="N8" i="1"/>
  <c r="N7" i="1"/>
  <c r="N6" i="1"/>
  <c r="N5" i="1"/>
  <c r="N4" i="1"/>
</calcChain>
</file>

<file path=xl/sharedStrings.xml><?xml version="1.0" encoding="utf-8"?>
<sst xmlns="http://schemas.openxmlformats.org/spreadsheetml/2006/main" count="413" uniqueCount="217">
  <si>
    <t>SR.NO</t>
  </si>
  <si>
    <t>TEAM OF MOBILE SQUAD</t>
  </si>
  <si>
    <t>NAME OF STATE TAX OFFICER</t>
  </si>
  <si>
    <t>SUPPLIER DETAIL</t>
  </si>
  <si>
    <t>RECIPIENT DETAILS</t>
  </si>
  <si>
    <t>DETAINTION DETAIL</t>
  </si>
  <si>
    <t>RECEIPT OF TAX &amp; PENALTY (CGST+SGST+IGST)</t>
  </si>
  <si>
    <t>COMMODITY</t>
  </si>
  <si>
    <t>UNDER WHICH SECTION</t>
  </si>
  <si>
    <t>REASON FOR DETAINTION</t>
  </si>
  <si>
    <t xml:space="preserve">REMARKS </t>
  </si>
  <si>
    <t>TRANSPORTER DETAILS</t>
  </si>
  <si>
    <t>E WAY BILL NO (IF AVAILABLE)</t>
  </si>
  <si>
    <t>NAME OF SUPPLIER</t>
  </si>
  <si>
    <t>GSTN NO.</t>
  </si>
  <si>
    <t>NAME OF RECIPIENT</t>
  </si>
  <si>
    <t>VEHICLE NO.</t>
  </si>
  <si>
    <t>DETAINTION DATE</t>
  </si>
  <si>
    <t>RELEASED DATE</t>
  </si>
  <si>
    <t>TAX</t>
  </si>
  <si>
    <t>PENALTY + OTHERS</t>
  </si>
  <si>
    <t>TOTAL</t>
  </si>
  <si>
    <t>TRANSPORTER NAME</t>
  </si>
  <si>
    <t>TRANSPORTER ID</t>
  </si>
  <si>
    <t>માલની હરાજી થયેલ છે પરંતુ વાહન પેડિંગ છે</t>
  </si>
  <si>
    <t>17/09/2024</t>
  </si>
  <si>
    <t>SR NO</t>
  </si>
  <si>
    <t xml:space="preserve">TEAM </t>
  </si>
  <si>
    <t xml:space="preserve"> OFFICER  NAME</t>
  </si>
  <si>
    <t xml:space="preserve">EWB VERIFICATION </t>
  </si>
  <si>
    <t>NO OF VEHICLE INSPECTED</t>
  </si>
  <si>
    <t>NO OF VEHICLE PHYSICALLY VERIFIED</t>
  </si>
  <si>
    <t>NO OF VEHICLES DETAINED</t>
  </si>
  <si>
    <t>NO OF VEHICLES RELEASED</t>
  </si>
  <si>
    <t xml:space="preserve">AMOUNT RECOVERS  (IN LAKHS) </t>
  </si>
  <si>
    <t>Team 2, DIV-7, Surat</t>
  </si>
  <si>
    <t>Navkar Enterprise</t>
  </si>
  <si>
    <t>24AAEHJ5631C1ZQ</t>
  </si>
  <si>
    <t>31/12/2020</t>
  </si>
  <si>
    <t>The goods in movement is without any valid document</t>
  </si>
  <si>
    <t>A Z ENTERPRISE</t>
  </si>
  <si>
    <t>24CDUPV4481M1ZI</t>
  </si>
  <si>
    <t>DAGE ENTERPRISE</t>
  </si>
  <si>
    <t>27CFCPD0217F1Z5</t>
  </si>
  <si>
    <t>GJ04X6032</t>
  </si>
  <si>
    <t>25/09/2021</t>
  </si>
  <si>
    <t>COMMODITY MISMATVH AND SUSPICIOUS TRANSACTION</t>
  </si>
  <si>
    <t>K P ENTERPRISE</t>
  </si>
  <si>
    <t>24DFPPK3435E1ZI</t>
  </si>
  <si>
    <t>SHREE DHANLAXMI METAL INDUSTRIES</t>
  </si>
  <si>
    <t>24AEBPK5633A1Z5</t>
  </si>
  <si>
    <t>MH04GC1557</t>
  </si>
  <si>
    <t>20/11/2021</t>
  </si>
  <si>
    <t>Suspicious trasaction as e way bill cancelled on dt.17/11/2021 Time 08:33PM</t>
  </si>
  <si>
    <t>માલ  સહિત વાહન પેડિંગ છે (માલ બદલી તથા ચોરી થયેલ છે. FIR નોંધાવેલ છે.)</t>
  </si>
  <si>
    <t>RUDRA ENTERPRISE</t>
  </si>
  <si>
    <t>24BNBPC1216K1ZL</t>
  </si>
  <si>
    <t>GJ04AW8518</t>
  </si>
  <si>
    <t>Prima facie seller M/S Rudra enterprise was found to be suspicious. On further investigation it was found that there is no business activity going on at the principal place of business declared by M/S Rudra enterprise at Ahmedabad, Gujarat. It seems registratiration obtained by M/S Rudra enterprise is for fraudulent means and bogus billing. Hence seller M/S Rudra enterprise needs to prove place of active business and genuineness.</t>
  </si>
  <si>
    <t xml:space="preserve">SHAH  ENTERPRISE </t>
  </si>
  <si>
    <t>24GPBPS4052E1Z1</t>
  </si>
  <si>
    <t xml:space="preserve">NATIONAL  INDIA  REFINERY </t>
  </si>
  <si>
    <t>24ABBPJ5375K1ZK</t>
  </si>
  <si>
    <t>GJ15AV1847</t>
  </si>
  <si>
    <t>26/12/2021</t>
  </si>
  <si>
    <t xml:space="preserve">(1)	Primarily GJ-15-AV-1847 with eway bill no 6513 6599 2080 dated 22/12/2021 shows  validity for movement of goods from ahmedabad to surat but as per RFID tracking system vehicle has moved from BOCHASAN on 24th december 2021 at 01:39 am and continuously moved to SURAT. This route is not for vehicle movement from Ahmedabad to Surat but for the vehicles coming from BHAVNAGAR Gujarat. Hence there is strong suspicion of movement of goods from BHAVNAGAR TO SURAT and not from Ahmedabad. Only bills were provided by SHAH ENTERPRISE and goods were purchased from somewhere else. These bills were purchased by NATIONAL INDIA REFINERY to wrongfully avail input tax credit and to evade tax by not paying tax through reverse charge mechanism which should be paid in case of purchase from unregistered person.
(2)	 As per e way bill system data these goods were purchased by SHAH ENTERPRISE Ahmedabad from AARADHNA ENTERPRISE Ahmedabad GSTN 24CJHPD5135K1ZB. Vehicle no GJ-15-AV-1847 was intercepted on 24th December 2021 and is stationed at SOHAM PARKING, Kadodara Surat since the date of interception. Surprisingly the same AARADHNA ENTERPRISE Ahmedabad GSTN 24CJHPD5135K1ZB has generated another e way bill in the same vehicle GJ15-AV-1847 Eway bill no 6713 6718 7677 showing movement of 10120 kg aluminum casting scrap. When vehicle is intercepted and stationed at surat, it is impossible for the e way bill no 6713 6718 7677 to be true and correct in nature. Hence all transactions of AARADHNA ENTERPRISE are suspicious including the one done with SHAH ENTERPRISE. 
(3)	Seller SHAH ENTERPRISE SHOP-G/A/9,, S.NO-254 SAROVAR AVENUE, NEAR HANUMAN MANDIR, NAROL, AHEMDABAD, Ahmedabad, Gujarat, 382405 GSTN 24GPBPS4052E1Z1 has declared commodity of business as TOYS HSN 95 and 9503 in registration application But since its inception i.e. November 2021, 18 e way bills of inward supply are available in the system, all of scrap. Similarly since its inception i.e. November 2021, 11 e way bills of outward supply are available in system, all of scrap.  It seems declaration of commodities was done with intention to evade scrutiny from department. 
Hence dealers SHAH Enterprise 24GPBPS4052E1Z1 and NATIONAL INDIA REFINERY 24ABBPJ5375K1ZK needs to prove genuineness of transactions and their business.
</t>
  </si>
  <si>
    <t>URP</t>
  </si>
  <si>
    <t>GJ04X5094</t>
  </si>
  <si>
    <t>No bill e-Waybill produced at the time to interception</t>
  </si>
  <si>
    <t>GJ04AT6317</t>
  </si>
  <si>
    <t xml:space="preserve">FOR FURTHER VERIFICATION </t>
  </si>
  <si>
    <t>માલ  સહિત વાહન પેડિંગ છે. CASE PENDING IN HIGH COURT</t>
  </si>
  <si>
    <t>RJ14GJ2004</t>
  </si>
  <si>
    <t>23/08/2024</t>
  </si>
  <si>
    <t>AUCTION</t>
  </si>
  <si>
    <t>(1) GSTIN : 24ADHPA8493P1ZDHAS CAME FORWARD AND MADE PAYMENT OF RS.340880/-WITH CHALLAN : 241224002120787 AND SBI CHALLAN OF 166000/- on date.20-12-2024</t>
  </si>
  <si>
    <t>GJ09AV8188</t>
  </si>
  <si>
    <t>Inward Supply Chain Found Suspicious</t>
  </si>
  <si>
    <t>SCA No: 14630 of 2024 માં આપેલ નિર્દેશ અન્વયે 200 % ટેકસ રૂ.282982 / - નું DRC-03 ARN NO: AD241124002815K Date:09/11/2024 તેમજ તફાવતની રકમ 7,85,920/- ની બેંક ગેરેંટી અત્રે રજુ કર્યેથી વાહન અને માલ મુક્ત કરેલ છે.</t>
  </si>
  <si>
    <t>GJ27TT7207</t>
  </si>
  <si>
    <t>26/11/2024</t>
  </si>
  <si>
    <t>MIXED GOODS</t>
  </si>
  <si>
    <t>NO INVOICE PRODUCED FOR SOME OF ITEMS</t>
  </si>
  <si>
    <t>R/SCA No: 15859 of 2024 માં આપેલ નિર્દેશ અન્વયે 200 % ટેકસ રૂ.366614 / - નું CHALLEN GSTIN: 24AATCS1290G1Z5 CPIN: 24112400520991 Date:26/11/2024 તેમજ તફાવતની રકમ 57,94,203/- ની BOND અત્રે રજુ કર્યેથી વાહન અને માલ મુક્ત કરેલ છે.</t>
  </si>
  <si>
    <t>DD01S9136</t>
  </si>
  <si>
    <t>24-10-2024</t>
  </si>
  <si>
    <t>---</t>
  </si>
  <si>
    <t>SUSPICIOUS TRANSACTION FOUND, VEHICLE RELEASED AND GOODS CONFISCATED</t>
  </si>
  <si>
    <t>GJ15YY4395</t>
  </si>
  <si>
    <t>-</t>
  </si>
  <si>
    <t>GJ21W5841</t>
  </si>
  <si>
    <t>18/01/2025</t>
  </si>
  <si>
    <t xml:space="preserve">NO INVOICE TENDRED AT THE TIME OF VEHICLE INTERCEPTION </t>
  </si>
  <si>
    <t>(1)TEMP ID : 242500000114TMP HAS CAME FORWARD AND MADE PAYMENT OF RS.89650/-WITH CHALLAN : 25012400232513. વાહનનો ફાઈન ભરીને વાહન મુક્ત કરાવેલ છે. માલ ઉતારી લીધેલ છે. (2)MOV-11 ISSUED ON 28/01/2025</t>
  </si>
  <si>
    <t>RJ09GE0926</t>
  </si>
  <si>
    <t>23/12/2024</t>
  </si>
  <si>
    <t>INWARD SUPPLY CHAIN FOUND BOGUS</t>
  </si>
  <si>
    <t>J V ACHARYA</t>
  </si>
  <si>
    <t>BOGUS AND SUSPICIOUS TRASACTION</t>
  </si>
  <si>
    <t>VENUS ALLOYS</t>
  </si>
  <si>
    <t>27RKKPS1803Q1Z3</t>
  </si>
  <si>
    <t>VISHAL ENGINEERING</t>
  </si>
  <si>
    <t>26AAFFV1664E1Z8</t>
  </si>
  <si>
    <t>GJ21W9745</t>
  </si>
  <si>
    <t>MOV 4 AND MOV 6 ISSUED</t>
  </si>
  <si>
    <t>MARS ENTERPRISE</t>
  </si>
  <si>
    <t>27NRKPS3908B1ZE</t>
  </si>
  <si>
    <t>GJ21V7737</t>
  </si>
  <si>
    <t xml:space="preserve">TEMP ID : 242500000112TMP HAS CAME FORWARD AND MADE PAYMENT OF RS.226755/-WITH CHALLAN : 25012400193375 વાહનનો ફાઈન ભરીને વાહન મુક્ત કરાવેલ છે. માલ ઉતારી લીધેલ છે.ડિમાંડ ઓર્ડ્રર્ના ૯૦ દિવસ બાકી હોઇ હરાજી શક્ય નથી.
</t>
  </si>
  <si>
    <t>વાહનનો ફાઈન ભરીને વાહન મુક્ત કરાવેલ છે. માલ ઉતારી લીધેલ છે. વેપારીશ્રી દ્વારા અપીલ ફાઇલ કરેલ છે.</t>
  </si>
  <si>
    <t>SELF</t>
  </si>
  <si>
    <t xml:space="preserve">2106, 
2403 Pan Masala  </t>
  </si>
  <si>
    <t xml:space="preserve">2106, 
2403 Pan Masala </t>
  </si>
  <si>
    <t xml:space="preserve"> 76011010 ALLUMINIUM INGOT </t>
  </si>
  <si>
    <t xml:space="preserve"> 39159042 WASTE PET BOTTLE  </t>
  </si>
  <si>
    <t xml:space="preserve">  7404 COPPER SCRAP </t>
  </si>
  <si>
    <t xml:space="preserve"> 7404 COPPER SCRAP  </t>
  </si>
  <si>
    <t xml:space="preserve">  240110 MIXED GOODS + TOBACCO </t>
  </si>
  <si>
    <t xml:space="preserve">  7204M S SCRAP </t>
  </si>
  <si>
    <t xml:space="preserve"> 720421 S S SCRAP  </t>
  </si>
  <si>
    <t xml:space="preserve">  5306LILEN YARN </t>
  </si>
  <si>
    <t xml:space="preserve"> 7204 M S SCRAP  </t>
  </si>
  <si>
    <t xml:space="preserve">  7204 M S SCRAP </t>
  </si>
  <si>
    <t>BOM INTERNATIONAL STEEL PRIVATE LIMITED</t>
  </si>
  <si>
    <t>27AALCB5721F1ZQ</t>
  </si>
  <si>
    <t>SONI ENTERPRISE</t>
  </si>
  <si>
    <t>27GLEPS3855N1Z8</t>
  </si>
  <si>
    <t>DD01E9240</t>
  </si>
  <si>
    <t>13/08/2024</t>
  </si>
  <si>
    <t>20/09/2024</t>
  </si>
  <si>
    <t>PET BOTTLE</t>
  </si>
  <si>
    <t>SUPPLIER FIRM FOUND BOGUS MOV-10 ISSUED ON 23/08/2024 VIDE Ow No.63</t>
  </si>
  <si>
    <t>E WAY BILL EXPIRED</t>
  </si>
  <si>
    <t>SAVERA TRADERS</t>
  </si>
  <si>
    <t>33FLZPM1341F1ZX</t>
  </si>
  <si>
    <t>RACE ECOCHAIN LIMITED</t>
  </si>
  <si>
    <t>09AADCA1572H1Z3</t>
  </si>
  <si>
    <t>SHRI SHAMBHU TRADING</t>
  </si>
  <si>
    <t>27FPHPB4686A1ZZ</t>
  </si>
  <si>
    <t>WELSPUN SPECIALTY SOLUTIONS LIMITED</t>
  </si>
  <si>
    <t>24AAACR2121C1Z9</t>
  </si>
  <si>
    <t>NA</t>
  </si>
  <si>
    <t>GJ27T5042</t>
  </si>
  <si>
    <t>GJ07YY6723</t>
  </si>
  <si>
    <t>HINDUSTAN UNILIVER LIMITED FOR GUJARAT</t>
  </si>
  <si>
    <t>24AAACH1004N1Z0</t>
  </si>
  <si>
    <t>AVENUE SUPERMARTS LTD</t>
  </si>
  <si>
    <t>24AACCA8432H1ZW</t>
  </si>
  <si>
    <t>GJ15AT5668</t>
  </si>
  <si>
    <t>3402500 MIX GOODS</t>
  </si>
  <si>
    <t>MAHINDRA LOGISTCS LIMITED</t>
  </si>
  <si>
    <t>24AAFCM2530H1ZU</t>
  </si>
  <si>
    <t>TEMPID: 242400002264TMP HAS CAME FORWARD AND MADE PAYMENT OF RS 74100/-WITH CHALLAN: 240924000056550વાહનનો ફાઈન ભરીને વાહન મુક્ત કરાવેલ છે. માલ ઉતારી લીધેલ છે. .તા. ૧૨/૦૩/૨૦૨૫ના રોજ સદર કેસમાં ઉપસ્થિત કરેલ જવાબદારી સમક્ષ અપીલ તબ્બકે કોઈ રજૂઆત થયેલ છે કે નહીં તેની અધ્યતન પરિસ્થિતિ જાણવા હેતુ મા. ના. રા. વે. કમી. અપીલ વિભાગ-૦૭ ની કચેરીને પત્ર પાઠવેલ છે.હરાજી પાત્ર છે. હાલમાં DSC(FOR AUCTION) બનાવવાની કામગીરી ચાલુમાં છે</t>
  </si>
  <si>
    <t>TEMP ID : 242400002750TMP HAS CAME FORWARD AND MADE PAYMENT OF RS 142029/-WITH CHALLAN:24102400655640; વાહનનો ફાઈન ભરીને વાહન મુક્ત કરાવેલ છે. માલ ઉતારી લીધેલ છે. .તા. ૧૨/૦૩/૨૦૨૫ના રોજ સદર કેસમાં ઉપસ્થિત કરેલ જવાબદારી સમક્ષ અપીલ તબ્બકે કોઈ રજૂઆત થયેલ છે કે નહીં તેની અધ્યતન પરિસ્થિતિ જાણવા હેતુ મા. ના. રા. વે. કમી. અપીલ વિભાગ-૦૭ ની કચેરીને પત્ર પાઠવેલ છે.હરાજી પાત્ર કેસ છે. હાલમાં DSC (For Auction )બનાવવાની કામગીરી ચાલુમાં છે</t>
  </si>
  <si>
    <t>MOV-11 ISSUED ON 07/12/2024; માલ  સહિત વાહન પેડિંગ છે. ૯૦ દિવસ ૦૭/૦૩/૨૦૨૫ અ પુરા થયેલ હોઇ હરાજીની કામગીરી હવેથી શરૂ થશેહાલમાં DSC (For Auction )બનાવવાની કામગીરી ચાલુમાં છે.નામદાર હાઈકોર્ટ એ અરજદાર ને ઓર્ડર કર્યા ની તારીખ ૦૭-૦૩-૨૦૨૫ થી એક સપ્તાહમા પ્રથમ અપીલ ફાઈલ કરવાનૂ જણાવેલ છે. જેથી તા. ૧૨/૦૩/૨૦૨૫ના રોજ સદર કેસમાં ઉપસ્થિત કરેલ જવાબદારી સમક્ષ અપીલ તબ્બકે કોઈ રજૂઆત થયેલ છે કે નહીં તેની અધ્યતન પરિસ્થિતિ જાણવા હેતુ મા. ના. રા. વે. કમી. અપીલ વિભાગ-૦૭ ની કચેરીને પત્ર પાઠવેલ છે.</t>
  </si>
  <si>
    <t>BALAJI TRADERS</t>
  </si>
  <si>
    <t>36AAKFB6795P1ZH</t>
  </si>
  <si>
    <t>MAA ENTERPRISE</t>
  </si>
  <si>
    <t>24BXXPG5358Q1ZG</t>
  </si>
  <si>
    <t>AR01T0051</t>
  </si>
  <si>
    <t>24022090 MARLBORO CIGARETTE</t>
  </si>
  <si>
    <t>M R TRAVELS</t>
  </si>
  <si>
    <t>24AEWPC9944D1Z8</t>
  </si>
  <si>
    <t>DELIVERY PLACE MISMATCH</t>
  </si>
  <si>
    <t>GJ05BZ9400</t>
  </si>
  <si>
    <t>72044900 M S SCRAP</t>
  </si>
  <si>
    <t>ASR MULTIMETALS PVT LTD</t>
  </si>
  <si>
    <t>24AAECA9439L1ZC</t>
  </si>
  <si>
    <t>SHREENATHJI MARKETING</t>
  </si>
  <si>
    <t>24ABFFS1486C1ZD</t>
  </si>
  <si>
    <t>GJ12BT7523</t>
  </si>
  <si>
    <t>72142090 TMT BAR</t>
  </si>
  <si>
    <t>SHREEJI ROADLINES</t>
  </si>
  <si>
    <t>24AFGFS5862P1Z9</t>
  </si>
  <si>
    <t>DETAIL REPORT OF REVENUE RECEIPT BY MOBILE SQUAD DIV-7 SURAT DATE 05/04/2025</t>
  </si>
  <si>
    <t>RHD ENTERPRISE</t>
  </si>
  <si>
    <t>27ASLPD1550D2Z4</t>
  </si>
  <si>
    <t>GM IMPEX</t>
  </si>
  <si>
    <t>24AAFXG1642D1ZH</t>
  </si>
  <si>
    <t>GJ21Y5477</t>
  </si>
  <si>
    <t>PARAS ENTERPRISE</t>
  </si>
  <si>
    <t>24ABCFP2597E1Z9</t>
  </si>
  <si>
    <t>PRANIL INFRA</t>
  </si>
  <si>
    <t>24ABNPC4485H1ZL</t>
  </si>
  <si>
    <t>GJ12BZ4554</t>
  </si>
  <si>
    <t>UNIQUE STEEL</t>
  </si>
  <si>
    <t>24KNLPK9315L1ZC</t>
  </si>
  <si>
    <t>FIAZ ENTERPRISE</t>
  </si>
  <si>
    <t>24DDDPM8756A1ZM</t>
  </si>
  <si>
    <t>GJ09AU5983</t>
  </si>
  <si>
    <t>72041000 WASTE AND SCRAP</t>
  </si>
  <si>
    <t>CHAMUNDA TRANSPORTS</t>
  </si>
  <si>
    <t>24CNLPD5082P1ZJ</t>
  </si>
  <si>
    <t>SHREE MARUTI ENTERPRISE</t>
  </si>
  <si>
    <t>SMT ROADLINES</t>
  </si>
  <si>
    <t>S.R.TRADING COMPANY</t>
  </si>
  <si>
    <t>06AOWPA2165A1ZA</t>
  </si>
  <si>
    <t>MASSTECH RECYCLING LLP</t>
  </si>
  <si>
    <t>27ABQFM9213Q1ZC</t>
  </si>
  <si>
    <t>HR45C1839</t>
  </si>
  <si>
    <t>7204- IRON SCRAP, 7602- ALLUMINIUM SCRAP</t>
  </si>
  <si>
    <t>THE TRANSWAY OF INDIA</t>
  </si>
  <si>
    <t>06GIEPS7785C1ZS</t>
  </si>
  <si>
    <t>SHREE INTERNA</t>
  </si>
  <si>
    <t>24DREPG0313Q1ZW</t>
  </si>
  <si>
    <t>ONICRON</t>
  </si>
  <si>
    <t>24EVHPS1082L1Z6</t>
  </si>
  <si>
    <t>GJ19Y6523</t>
  </si>
  <si>
    <t>95069190- ABS ROLLER 85163100- HAIR DRYER</t>
  </si>
  <si>
    <t>NO E WAY BILL GENERATED FOR TRANSIT OF GOODS</t>
  </si>
  <si>
    <t>GSTIN : 24DREPG0313Q1ZW HAS CAME FORWARD AND MADE PAYMENT OF RS.204000/-WITH CHALLAN : 25042400037237 DATE 08/04/2025</t>
  </si>
  <si>
    <t>NO INVOICE AND NO E WAY BIL PRODUCED</t>
  </si>
  <si>
    <t>GSTIN : 242500000486TMP HAS CAME FORWARD AND MADE PAYMENT OF RS.614448/-WITH CHALLAN : 25042400041311 DATE 08/04/2025</t>
  </si>
  <si>
    <t>GSTIN : 242500000486TMP HAS CAME FORWARD AND MADE PAYMENT OF RS.377400/-WITH CHALLAN : 25042400041283 DATE 08/04/2025</t>
  </si>
  <si>
    <t>GSTIN : 242500000486TMP HAS CAME FORWARD AND MADE PAYMENT OF RS.821304/-WITH CHALLAN : 25042400041278 DATE 08/04/2025</t>
  </si>
  <si>
    <t>DISPATCH PLACE MISMATCH</t>
  </si>
  <si>
    <t>GSTIN : 24DDDPM8756A1ZM HAS CAME FORWARD AND MADE PAYMENT OF RS.123412/-WITH CHALLAN : 25042400041293  DATE 08/04/2025 AND WITH  PMT-09 RS.186840.</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</si>
</sst>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26"/>
      <name val="Calibri"/>
      <family val="2"/>
    </font>
    <font>
      <b/>
      <sz val="26"/>
      <color rgb="FF000000"/>
      <name val="Calibri"/>
      <family val="2"/>
    </font>
    <font>
      <sz val="14"/>
      <color rgb="FF000000"/>
      <name val="Calibri"/>
      <family val="2"/>
    </font>
    <font>
      <sz val="14"/>
      <name val="Calibri"/>
      <family val="2"/>
    </font>
    <font>
      <sz val="11"/>
      <color rgb="FF000000"/>
      <name val="Calibri"/>
      <family val="2"/>
      <scheme val="minor"/>
    </font>
    <font>
      <sz val="14"/>
      <color rgb="FF000000"/>
      <name val="Calibri"/>
      <family val="2"/>
      <scheme val="minor"/>
    </font>
    <font>
      <sz val="14"/>
      <color theme="1"/>
      <name val="Calibri"/>
      <family val="2"/>
    </font>
    <font>
      <sz val="14"/>
      <color theme="1"/>
      <name val="Calibri"/>
      <family val="2"/>
      <scheme val="minor"/>
    </font>
    <font>
      <sz val="16"/>
      <color theme="1"/>
      <name val="Calibri"/>
      <family val="2"/>
      <scheme val="minor"/>
    </font>
    <font>
      <sz val="16"/>
      <color rgb="FF000000"/>
      <name val="Calibri"/>
      <family val="2"/>
    </font>
    <font>
      <sz val="16"/>
      <color rgb="FF000000"/>
      <name val="Bookman Old Style"/>
      <family val="1"/>
    </font>
    <font>
      <sz val="16"/>
      <name val="Bookman Old Style"/>
      <family val="1"/>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CCCCCC"/>
      </left>
      <right style="medium">
        <color rgb="FFCCCCCC"/>
      </right>
      <top style="medium">
        <color rgb="FF000000"/>
      </top>
      <bottom style="medium">
        <color rgb="FF000000"/>
      </bottom>
      <diagonal/>
    </border>
  </borders>
  <cellStyleXfs count="1">
    <xf numFmtId="0" fontId="0" fillId="0" borderId="0"/>
  </cellStyleXfs>
  <cellXfs count="77">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0" fillId="0" borderId="0" xfId="0" applyAlignment="1">
      <alignment wrapText="1"/>
    </xf>
    <xf numFmtId="0" fontId="4" fillId="0" borderId="1" xfId="0" applyFont="1" applyBorder="1" applyAlignment="1">
      <alignment horizontal="center" vertical="center"/>
    </xf>
    <xf numFmtId="14" fontId="3" fillId="0" borderId="1" xfId="0" applyNumberFormat="1" applyFont="1" applyBorder="1" applyAlignment="1">
      <alignment horizontal="center" vertical="center"/>
    </xf>
    <xf numFmtId="1"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9" fillId="0" borderId="1" xfId="0" applyFont="1" applyBorder="1" applyAlignment="1">
      <alignment horizontal="center" vertical="center" wrapText="1"/>
    </xf>
    <xf numFmtId="1"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0" fillId="0" borderId="0" xfId="0" applyFill="1"/>
    <xf numFmtId="0" fontId="12" fillId="0" borderId="1" xfId="0" applyFont="1" applyBorder="1" applyAlignment="1">
      <alignment horizontal="center" vertical="center" wrapText="1"/>
    </xf>
    <xf numFmtId="1"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8" fillId="0" borderId="1" xfId="0"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1" fontId="7" fillId="0" borderId="1" xfId="0" applyNumberFormat="1" applyFont="1" applyFill="1" applyBorder="1" applyAlignment="1">
      <alignment horizontal="center" vertical="center" wrapText="1"/>
    </xf>
    <xf numFmtId="1" fontId="6" fillId="0"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0" fontId="0" fillId="2" borderId="0" xfId="0" applyFill="1"/>
    <xf numFmtId="0" fontId="0" fillId="0" borderId="2" xfId="0" applyBorder="1" applyAlignment="1">
      <alignment horizontal="center"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wrapText="1"/>
    </xf>
    <xf numFmtId="0" fontId="9" fillId="0" borderId="3" xfId="0" applyFont="1" applyBorder="1" applyAlignment="1">
      <alignment horizontal="center" vertical="center" wrapText="1"/>
    </xf>
    <xf numFmtId="0" fontId="3" fillId="2" borderId="4" xfId="0" applyFont="1" applyFill="1" applyBorder="1" applyAlignment="1">
      <alignment horizontal="center" vertical="center" wrapText="1"/>
    </xf>
    <xf numFmtId="0" fontId="8" fillId="2" borderId="2" xfId="0" applyFont="1" applyFill="1" applyBorder="1" applyAlignment="1">
      <alignment horizontal="right" vertical="center" wrapText="1"/>
    </xf>
    <xf numFmtId="0" fontId="8" fillId="2" borderId="3" xfId="0" applyFont="1" applyFill="1" applyBorder="1" applyAlignment="1">
      <alignment vertical="center" wrapText="1"/>
    </xf>
    <xf numFmtId="14" fontId="8" fillId="2" borderId="3" xfId="0" applyNumberFormat="1" applyFont="1" applyFill="1" applyBorder="1" applyAlignment="1">
      <alignment horizontal="right" vertical="center" wrapText="1"/>
    </xf>
    <xf numFmtId="0" fontId="8" fillId="2" borderId="0" xfId="0" applyFont="1" applyFill="1"/>
    <xf numFmtId="0" fontId="8" fillId="2" borderId="2" xfId="0" applyFont="1" applyFill="1" applyBorder="1" applyAlignment="1">
      <alignment vertical="center" wrapText="1"/>
    </xf>
    <xf numFmtId="0" fontId="8" fillId="3" borderId="0" xfId="0" applyFont="1" applyFill="1"/>
    <xf numFmtId="0" fontId="3"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4" borderId="5" xfId="0" applyFont="1" applyFill="1" applyBorder="1" applyAlignment="1">
      <alignment vertical="center" wrapText="1"/>
    </xf>
    <xf numFmtId="0" fontId="8" fillId="4" borderId="3" xfId="0" applyFont="1" applyFill="1" applyBorder="1" applyAlignment="1">
      <alignment vertical="center" wrapText="1"/>
    </xf>
    <xf numFmtId="14" fontId="8" fillId="4" borderId="3" xfId="0" applyNumberFormat="1" applyFont="1" applyFill="1" applyBorder="1" applyAlignment="1">
      <alignment horizontal="center" vertical="center" wrapText="1"/>
    </xf>
    <xf numFmtId="0" fontId="8" fillId="4" borderId="0" xfId="0" applyFont="1" applyFill="1"/>
    <xf numFmtId="0" fontId="8" fillId="4" borderId="3" xfId="0" applyFont="1" applyFill="1" applyBorder="1" applyAlignment="1">
      <alignment horizontal="right" vertical="center" wrapText="1"/>
    </xf>
    <xf numFmtId="0" fontId="8" fillId="4" borderId="3" xfId="0" applyFont="1" applyFill="1" applyBorder="1" applyAlignment="1">
      <alignment horizontal="center" vertical="center" wrapText="1"/>
    </xf>
    <xf numFmtId="1" fontId="7"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xf>
    <xf numFmtId="0" fontId="0" fillId="4" borderId="0" xfId="0" applyFill="1"/>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 fontId="6" fillId="3" borderId="1" xfId="0" applyNumberFormat="1" applyFont="1" applyFill="1" applyBorder="1" applyAlignment="1">
      <alignment horizontal="center" vertical="center" wrapText="1"/>
    </xf>
    <xf numFmtId="14" fontId="8" fillId="3" borderId="1" xfId="0" applyNumberFormat="1" applyFont="1" applyFill="1" applyBorder="1" applyAlignment="1">
      <alignment horizontal="center" vertical="center" wrapText="1"/>
    </xf>
    <xf numFmtId="14" fontId="8" fillId="3" borderId="3"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1" fontId="7"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xf>
    <xf numFmtId="0" fontId="0" fillId="3" borderId="0" xfId="0" applyFill="1"/>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1" fontId="4" fillId="3" borderId="1" xfId="0" applyNumberFormat="1"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14" fontId="6" fillId="3" borderId="1" xfId="0" applyNumberFormat="1" applyFont="1" applyFill="1" applyBorder="1" applyAlignment="1">
      <alignment horizontal="center" vertical="center" wrapText="1"/>
    </xf>
    <xf numFmtId="0" fontId="8" fillId="3"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topLeftCell="F24" zoomScale="55" zoomScaleNormal="55" workbookViewId="0">
      <selection activeCell="M20" sqref="M20:M30"/>
    </sheetView>
  </sheetViews>
  <sheetFormatPr defaultRowHeight="15" x14ac:dyDescent="0.25"/>
  <cols>
    <col min="1" max="1" width="7.5703125" customWidth="1"/>
    <col min="2" max="2" width="22.5703125" customWidth="1"/>
    <col min="3" max="3" width="21.28515625" customWidth="1"/>
    <col min="4" max="4" width="69.85546875" bestFit="1" customWidth="1"/>
    <col min="5" max="5" width="38.7109375" customWidth="1"/>
    <col min="6" max="6" width="34.28515625" customWidth="1"/>
    <col min="7" max="7" width="31.5703125" customWidth="1"/>
    <col min="8" max="8" width="30.85546875" customWidth="1"/>
    <col min="9" max="9" width="27.85546875" customWidth="1"/>
    <col min="10" max="10" width="18.42578125" customWidth="1"/>
    <col min="11" max="11" width="19.42578125" customWidth="1"/>
    <col min="12" max="12" width="15.85546875" customWidth="1"/>
    <col min="13" max="13" width="21.5703125" customWidth="1"/>
    <col min="14" max="14" width="18.140625" customWidth="1"/>
    <col min="15" max="15" width="25.7109375" customWidth="1"/>
    <col min="16" max="16" width="18.42578125" customWidth="1"/>
    <col min="17" max="17" width="61" customWidth="1"/>
    <col min="18" max="18" width="52.7109375" style="8" customWidth="1"/>
    <col min="19" max="19" width="36.28515625" customWidth="1"/>
    <col min="20" max="20" width="30.5703125" bestFit="1" customWidth="1"/>
  </cols>
  <sheetData>
    <row r="1" spans="1:20" ht="33.75" x14ac:dyDescent="0.25">
      <c r="A1" s="76" t="s">
        <v>174</v>
      </c>
      <c r="B1" s="76"/>
      <c r="C1" s="76"/>
      <c r="D1" s="76"/>
      <c r="E1" s="76"/>
      <c r="F1" s="76"/>
      <c r="G1" s="76"/>
      <c r="H1" s="76"/>
      <c r="I1" s="76"/>
      <c r="J1" s="76"/>
      <c r="K1" s="76"/>
      <c r="L1" s="76"/>
      <c r="M1" s="76"/>
      <c r="N1" s="76"/>
      <c r="O1" s="76"/>
      <c r="P1" s="76"/>
      <c r="Q1" s="76"/>
      <c r="R1" s="76"/>
      <c r="S1" s="76"/>
      <c r="T1" s="76"/>
    </row>
    <row r="2" spans="1:20" ht="33.75" x14ac:dyDescent="0.25">
      <c r="A2" s="75" t="s">
        <v>0</v>
      </c>
      <c r="B2" s="75" t="s">
        <v>1</v>
      </c>
      <c r="C2" s="75" t="s">
        <v>2</v>
      </c>
      <c r="D2" s="75" t="s">
        <v>3</v>
      </c>
      <c r="E2" s="76"/>
      <c r="F2" s="76"/>
      <c r="G2" s="75" t="s">
        <v>4</v>
      </c>
      <c r="H2" s="75"/>
      <c r="I2" s="75" t="s">
        <v>5</v>
      </c>
      <c r="J2" s="76"/>
      <c r="K2" s="76"/>
      <c r="L2" s="75" t="s">
        <v>6</v>
      </c>
      <c r="M2" s="76"/>
      <c r="N2" s="76"/>
      <c r="O2" s="75" t="s">
        <v>7</v>
      </c>
      <c r="P2" s="75" t="s">
        <v>8</v>
      </c>
      <c r="Q2" s="75" t="s">
        <v>9</v>
      </c>
      <c r="R2" s="75" t="s">
        <v>10</v>
      </c>
      <c r="S2" s="75" t="s">
        <v>11</v>
      </c>
      <c r="T2" s="76"/>
    </row>
    <row r="3" spans="1:20" ht="101.25" x14ac:dyDescent="0.25">
      <c r="A3" s="76"/>
      <c r="B3" s="76"/>
      <c r="C3" s="76"/>
      <c r="D3" s="1" t="s">
        <v>12</v>
      </c>
      <c r="E3" s="1" t="s">
        <v>13</v>
      </c>
      <c r="F3" s="1" t="s">
        <v>14</v>
      </c>
      <c r="G3" s="1" t="s">
        <v>15</v>
      </c>
      <c r="H3" s="1" t="s">
        <v>14</v>
      </c>
      <c r="I3" s="1" t="s">
        <v>16</v>
      </c>
      <c r="J3" s="1" t="s">
        <v>17</v>
      </c>
      <c r="K3" s="1" t="s">
        <v>18</v>
      </c>
      <c r="L3" s="1" t="s">
        <v>19</v>
      </c>
      <c r="M3" s="1" t="s">
        <v>20</v>
      </c>
      <c r="N3" s="1" t="s">
        <v>21</v>
      </c>
      <c r="O3" s="75"/>
      <c r="P3" s="76"/>
      <c r="Q3" s="76"/>
      <c r="R3" s="76"/>
      <c r="S3" s="1" t="s">
        <v>22</v>
      </c>
      <c r="T3" s="1" t="s">
        <v>23</v>
      </c>
    </row>
    <row r="4" spans="1:20" ht="37.5" x14ac:dyDescent="0.25">
      <c r="A4" s="2">
        <v>1</v>
      </c>
      <c r="B4" s="3" t="s">
        <v>35</v>
      </c>
      <c r="C4" s="9" t="s">
        <v>97</v>
      </c>
      <c r="D4" s="4" t="s">
        <v>141</v>
      </c>
      <c r="E4" s="4" t="s">
        <v>36</v>
      </c>
      <c r="F4" s="4" t="s">
        <v>37</v>
      </c>
      <c r="G4" s="4" t="s">
        <v>141</v>
      </c>
      <c r="H4" s="4" t="s">
        <v>141</v>
      </c>
      <c r="I4" s="9" t="s">
        <v>142</v>
      </c>
      <c r="J4" s="2" t="s">
        <v>38</v>
      </c>
      <c r="K4" s="4" t="s">
        <v>141</v>
      </c>
      <c r="L4" s="2">
        <v>0</v>
      </c>
      <c r="M4" s="2">
        <v>113954</v>
      </c>
      <c r="N4" s="2">
        <f t="shared" ref="N4:N20" si="0">L4+M4</f>
        <v>113954</v>
      </c>
      <c r="O4" s="2" t="s">
        <v>111</v>
      </c>
      <c r="P4" s="2">
        <v>130</v>
      </c>
      <c r="Q4" s="2" t="s">
        <v>39</v>
      </c>
      <c r="R4" s="2" t="s">
        <v>24</v>
      </c>
      <c r="S4" s="4" t="s">
        <v>141</v>
      </c>
      <c r="T4" s="4" t="s">
        <v>141</v>
      </c>
    </row>
    <row r="5" spans="1:20" ht="37.5" x14ac:dyDescent="0.25">
      <c r="A5" s="2">
        <v>2</v>
      </c>
      <c r="B5" s="3" t="s">
        <v>35</v>
      </c>
      <c r="C5" s="9" t="s">
        <v>97</v>
      </c>
      <c r="D5" s="4" t="s">
        <v>141</v>
      </c>
      <c r="E5" s="2" t="s">
        <v>36</v>
      </c>
      <c r="F5" s="2" t="s">
        <v>37</v>
      </c>
      <c r="G5" s="4" t="s">
        <v>141</v>
      </c>
      <c r="H5" s="4" t="s">
        <v>141</v>
      </c>
      <c r="I5" s="2" t="s">
        <v>143</v>
      </c>
      <c r="J5" s="2" t="s">
        <v>38</v>
      </c>
      <c r="K5" s="4" t="s">
        <v>141</v>
      </c>
      <c r="L5" s="2">
        <v>0</v>
      </c>
      <c r="M5" s="2">
        <v>332369</v>
      </c>
      <c r="N5" s="2">
        <f t="shared" si="0"/>
        <v>332369</v>
      </c>
      <c r="O5" s="2" t="s">
        <v>112</v>
      </c>
      <c r="P5" s="2">
        <v>130</v>
      </c>
      <c r="Q5" s="2" t="s">
        <v>39</v>
      </c>
      <c r="R5" s="2" t="s">
        <v>24</v>
      </c>
      <c r="S5" s="4" t="s">
        <v>141</v>
      </c>
      <c r="T5" s="4" t="s">
        <v>141</v>
      </c>
    </row>
    <row r="6" spans="1:20" ht="37.5" x14ac:dyDescent="0.25">
      <c r="A6" s="2">
        <v>3</v>
      </c>
      <c r="B6" s="3" t="s">
        <v>35</v>
      </c>
      <c r="C6" s="9" t="s">
        <v>97</v>
      </c>
      <c r="D6" s="4">
        <v>641335383279</v>
      </c>
      <c r="E6" s="2" t="s">
        <v>40</v>
      </c>
      <c r="F6" s="2" t="s">
        <v>41</v>
      </c>
      <c r="G6" s="2" t="s">
        <v>42</v>
      </c>
      <c r="H6" s="2" t="s">
        <v>43</v>
      </c>
      <c r="I6" s="2" t="s">
        <v>44</v>
      </c>
      <c r="J6" s="2" t="s">
        <v>45</v>
      </c>
      <c r="K6" s="4" t="s">
        <v>141</v>
      </c>
      <c r="L6" s="2">
        <v>0</v>
      </c>
      <c r="M6" s="2">
        <v>602910</v>
      </c>
      <c r="N6" s="2">
        <f t="shared" si="0"/>
        <v>602910</v>
      </c>
      <c r="O6" s="2" t="s">
        <v>115</v>
      </c>
      <c r="P6" s="2">
        <v>130</v>
      </c>
      <c r="Q6" s="2" t="s">
        <v>46</v>
      </c>
      <c r="R6" s="2" t="s">
        <v>24</v>
      </c>
      <c r="S6" s="4" t="s">
        <v>141</v>
      </c>
      <c r="T6" s="4" t="s">
        <v>141</v>
      </c>
    </row>
    <row r="7" spans="1:20" ht="37.5" x14ac:dyDescent="0.25">
      <c r="A7" s="2">
        <v>4</v>
      </c>
      <c r="B7" s="3" t="s">
        <v>35</v>
      </c>
      <c r="C7" s="9" t="s">
        <v>97</v>
      </c>
      <c r="D7" s="4">
        <v>601353940869</v>
      </c>
      <c r="E7" s="2" t="s">
        <v>47</v>
      </c>
      <c r="F7" s="2" t="s">
        <v>48</v>
      </c>
      <c r="G7" s="2" t="s">
        <v>49</v>
      </c>
      <c r="H7" s="2" t="s">
        <v>50</v>
      </c>
      <c r="I7" s="2" t="s">
        <v>51</v>
      </c>
      <c r="J7" s="2" t="s">
        <v>52</v>
      </c>
      <c r="K7" s="4" t="s">
        <v>141</v>
      </c>
      <c r="L7" s="2">
        <v>1210536</v>
      </c>
      <c r="M7" s="2">
        <v>9146272</v>
      </c>
      <c r="N7" s="2">
        <f t="shared" si="0"/>
        <v>10356808</v>
      </c>
      <c r="O7" s="2" t="s">
        <v>116</v>
      </c>
      <c r="P7" s="2">
        <v>130</v>
      </c>
      <c r="Q7" s="2" t="s">
        <v>53</v>
      </c>
      <c r="R7" s="2" t="s">
        <v>54</v>
      </c>
      <c r="S7" s="4" t="s">
        <v>141</v>
      </c>
      <c r="T7" s="4" t="s">
        <v>141</v>
      </c>
    </row>
    <row r="8" spans="1:20" ht="168.75" x14ac:dyDescent="0.25">
      <c r="A8" s="2">
        <v>5</v>
      </c>
      <c r="B8" s="3" t="s">
        <v>35</v>
      </c>
      <c r="C8" s="9" t="s">
        <v>97</v>
      </c>
      <c r="D8" s="4">
        <v>661353673257</v>
      </c>
      <c r="E8" s="2" t="s">
        <v>55</v>
      </c>
      <c r="F8" s="2" t="s">
        <v>56</v>
      </c>
      <c r="G8" s="2" t="s">
        <v>49</v>
      </c>
      <c r="H8" s="2" t="s">
        <v>50</v>
      </c>
      <c r="I8" s="2" t="s">
        <v>57</v>
      </c>
      <c r="J8" s="2" t="s">
        <v>52</v>
      </c>
      <c r="K8" s="5">
        <v>44815</v>
      </c>
      <c r="L8" s="2">
        <v>299886</v>
      </c>
      <c r="M8" s="2">
        <v>1965922</v>
      </c>
      <c r="N8" s="2">
        <f t="shared" si="0"/>
        <v>2265808</v>
      </c>
      <c r="O8" s="2" t="s">
        <v>116</v>
      </c>
      <c r="P8" s="2">
        <v>130</v>
      </c>
      <c r="Q8" s="2" t="s">
        <v>58</v>
      </c>
      <c r="R8" s="17" t="s">
        <v>109</v>
      </c>
      <c r="S8" s="4" t="s">
        <v>141</v>
      </c>
      <c r="T8" s="4" t="s">
        <v>141</v>
      </c>
    </row>
    <row r="9" spans="1:20" ht="409.5" x14ac:dyDescent="0.25">
      <c r="A9" s="2">
        <v>6</v>
      </c>
      <c r="B9" s="3" t="s">
        <v>35</v>
      </c>
      <c r="C9" s="9" t="s">
        <v>97</v>
      </c>
      <c r="D9" s="4">
        <v>651365990141</v>
      </c>
      <c r="E9" s="2" t="s">
        <v>59</v>
      </c>
      <c r="F9" s="2" t="s">
        <v>60</v>
      </c>
      <c r="G9" s="2" t="s">
        <v>61</v>
      </c>
      <c r="H9" s="2" t="s">
        <v>62</v>
      </c>
      <c r="I9" s="2" t="s">
        <v>63</v>
      </c>
      <c r="J9" s="2" t="s">
        <v>64</v>
      </c>
      <c r="K9" s="4" t="s">
        <v>141</v>
      </c>
      <c r="L9" s="2">
        <v>0</v>
      </c>
      <c r="M9" s="2">
        <v>562864</v>
      </c>
      <c r="N9" s="2">
        <f t="shared" si="0"/>
        <v>562864</v>
      </c>
      <c r="O9" s="2" t="s">
        <v>116</v>
      </c>
      <c r="P9" s="2">
        <v>130</v>
      </c>
      <c r="Q9" s="2" t="s">
        <v>65</v>
      </c>
      <c r="R9" s="2" t="s">
        <v>24</v>
      </c>
      <c r="S9" s="4" t="s">
        <v>141</v>
      </c>
      <c r="T9" s="4" t="s">
        <v>141</v>
      </c>
    </row>
    <row r="10" spans="1:20" ht="37.5" x14ac:dyDescent="0.25">
      <c r="A10" s="2">
        <v>7</v>
      </c>
      <c r="B10" s="3" t="s">
        <v>35</v>
      </c>
      <c r="C10" s="9" t="s">
        <v>97</v>
      </c>
      <c r="D10" s="4" t="s">
        <v>141</v>
      </c>
      <c r="E10" s="4" t="s">
        <v>141</v>
      </c>
      <c r="F10" s="4" t="s">
        <v>66</v>
      </c>
      <c r="G10" s="4" t="s">
        <v>141</v>
      </c>
      <c r="H10" s="4" t="s">
        <v>66</v>
      </c>
      <c r="I10" s="4" t="s">
        <v>67</v>
      </c>
      <c r="J10" s="5">
        <v>44565</v>
      </c>
      <c r="K10" s="4" t="s">
        <v>141</v>
      </c>
      <c r="L10" s="4">
        <v>0</v>
      </c>
      <c r="M10" s="4">
        <f>4870*660*18/100</f>
        <v>578556</v>
      </c>
      <c r="N10" s="4">
        <f t="shared" si="0"/>
        <v>578556</v>
      </c>
      <c r="O10" s="4" t="s">
        <v>116</v>
      </c>
      <c r="P10" s="4">
        <v>130</v>
      </c>
      <c r="Q10" s="4" t="s">
        <v>68</v>
      </c>
      <c r="R10" s="4" t="s">
        <v>24</v>
      </c>
      <c r="S10" s="4" t="s">
        <v>141</v>
      </c>
      <c r="T10" s="4" t="s">
        <v>141</v>
      </c>
    </row>
    <row r="11" spans="1:20" ht="37.5" x14ac:dyDescent="0.25">
      <c r="A11" s="2">
        <v>8</v>
      </c>
      <c r="B11" s="3" t="s">
        <v>35</v>
      </c>
      <c r="C11" s="9" t="s">
        <v>97</v>
      </c>
      <c r="D11" s="4" t="s">
        <v>141</v>
      </c>
      <c r="E11" s="4" t="s">
        <v>141</v>
      </c>
      <c r="F11" s="4" t="s">
        <v>141</v>
      </c>
      <c r="G11" s="4" t="s">
        <v>141</v>
      </c>
      <c r="H11" s="4" t="s">
        <v>141</v>
      </c>
      <c r="I11" s="4" t="s">
        <v>69</v>
      </c>
      <c r="J11" s="10">
        <v>45448</v>
      </c>
      <c r="K11" s="4" t="s">
        <v>141</v>
      </c>
      <c r="L11" s="4">
        <v>0</v>
      </c>
      <c r="M11" s="4">
        <v>0</v>
      </c>
      <c r="N11" s="4">
        <f t="shared" si="0"/>
        <v>0</v>
      </c>
      <c r="O11" s="4" t="s">
        <v>113</v>
      </c>
      <c r="P11" s="2" t="s">
        <v>141</v>
      </c>
      <c r="Q11" s="4" t="s">
        <v>70</v>
      </c>
      <c r="R11" s="4" t="s">
        <v>71</v>
      </c>
      <c r="S11" s="4" t="s">
        <v>141</v>
      </c>
      <c r="T11" s="4" t="s">
        <v>141</v>
      </c>
    </row>
    <row r="12" spans="1:20" ht="127.5" customHeight="1" x14ac:dyDescent="0.25">
      <c r="A12" s="2">
        <v>9</v>
      </c>
      <c r="B12" s="3" t="s">
        <v>35</v>
      </c>
      <c r="C12" s="9" t="s">
        <v>97</v>
      </c>
      <c r="D12" s="4" t="s">
        <v>141</v>
      </c>
      <c r="E12" s="4" t="s">
        <v>141</v>
      </c>
      <c r="F12" s="4" t="s">
        <v>141</v>
      </c>
      <c r="G12" s="4" t="s">
        <v>141</v>
      </c>
      <c r="H12" s="4" t="s">
        <v>141</v>
      </c>
      <c r="I12" s="4" t="s">
        <v>72</v>
      </c>
      <c r="J12" s="10" t="s">
        <v>73</v>
      </c>
      <c r="K12" s="4" t="s">
        <v>141</v>
      </c>
      <c r="L12" s="4">
        <v>0</v>
      </c>
      <c r="M12" s="4">
        <f>340880+166000</f>
        <v>506880</v>
      </c>
      <c r="N12" s="4">
        <f t="shared" si="0"/>
        <v>506880</v>
      </c>
      <c r="O12" s="4" t="s">
        <v>117</v>
      </c>
      <c r="P12" s="2">
        <v>130</v>
      </c>
      <c r="Q12" s="4" t="s">
        <v>74</v>
      </c>
      <c r="R12" s="4" t="s">
        <v>75</v>
      </c>
      <c r="S12" s="4" t="s">
        <v>141</v>
      </c>
      <c r="T12" s="4" t="s">
        <v>141</v>
      </c>
    </row>
    <row r="13" spans="1:20" ht="131.25" customHeight="1" x14ac:dyDescent="0.25">
      <c r="A13" s="2">
        <v>10</v>
      </c>
      <c r="B13" s="3" t="s">
        <v>35</v>
      </c>
      <c r="C13" s="9" t="s">
        <v>97</v>
      </c>
      <c r="D13" s="4" t="s">
        <v>141</v>
      </c>
      <c r="E13" s="4" t="s">
        <v>141</v>
      </c>
      <c r="F13" s="4" t="s">
        <v>141</v>
      </c>
      <c r="G13" s="4" t="s">
        <v>141</v>
      </c>
      <c r="H13" s="4" t="s">
        <v>141</v>
      </c>
      <c r="I13" s="11" t="s">
        <v>76</v>
      </c>
      <c r="J13" s="7" t="s">
        <v>25</v>
      </c>
      <c r="K13" s="5">
        <v>45576</v>
      </c>
      <c r="L13" s="4">
        <v>0</v>
      </c>
      <c r="M13" s="4">
        <v>282932</v>
      </c>
      <c r="N13" s="4">
        <v>282932</v>
      </c>
      <c r="O13" s="2" t="s">
        <v>118</v>
      </c>
      <c r="P13" s="2">
        <v>130</v>
      </c>
      <c r="Q13" s="6" t="s">
        <v>77</v>
      </c>
      <c r="R13" s="2" t="s">
        <v>78</v>
      </c>
      <c r="S13" s="4" t="s">
        <v>141</v>
      </c>
      <c r="T13" s="4" t="s">
        <v>141</v>
      </c>
    </row>
    <row r="14" spans="1:20" ht="138.75" customHeight="1" x14ac:dyDescent="0.25">
      <c r="A14" s="2">
        <v>11</v>
      </c>
      <c r="B14" s="3" t="s">
        <v>35</v>
      </c>
      <c r="C14" s="9" t="s">
        <v>97</v>
      </c>
      <c r="D14" s="4" t="s">
        <v>141</v>
      </c>
      <c r="E14" s="4" t="s">
        <v>141</v>
      </c>
      <c r="F14" s="4" t="s">
        <v>141</v>
      </c>
      <c r="G14" s="4" t="s">
        <v>141</v>
      </c>
      <c r="H14" s="4" t="s">
        <v>141</v>
      </c>
      <c r="I14" s="11" t="s">
        <v>79</v>
      </c>
      <c r="J14" s="7" t="s">
        <v>25</v>
      </c>
      <c r="K14" s="2" t="s">
        <v>80</v>
      </c>
      <c r="L14" s="4">
        <v>0</v>
      </c>
      <c r="M14" s="4">
        <v>366614</v>
      </c>
      <c r="N14" s="4">
        <v>366614</v>
      </c>
      <c r="O14" s="2" t="s">
        <v>81</v>
      </c>
      <c r="P14" s="2">
        <v>130</v>
      </c>
      <c r="Q14" s="6" t="s">
        <v>82</v>
      </c>
      <c r="R14" s="2" t="s">
        <v>83</v>
      </c>
      <c r="S14" s="4" t="s">
        <v>141</v>
      </c>
      <c r="T14" s="4" t="s">
        <v>141</v>
      </c>
    </row>
    <row r="15" spans="1:20" ht="311.25" customHeight="1" x14ac:dyDescent="0.25">
      <c r="A15" s="2">
        <v>12</v>
      </c>
      <c r="B15" s="20" t="s">
        <v>35</v>
      </c>
      <c r="C15" s="9" t="s">
        <v>97</v>
      </c>
      <c r="D15" s="21">
        <v>241809310640</v>
      </c>
      <c r="E15" s="22" t="s">
        <v>123</v>
      </c>
      <c r="F15" s="22" t="s">
        <v>124</v>
      </c>
      <c r="G15" s="22" t="s">
        <v>125</v>
      </c>
      <c r="H15" s="22" t="s">
        <v>126</v>
      </c>
      <c r="I15" s="22" t="s">
        <v>127</v>
      </c>
      <c r="J15" s="23" t="s">
        <v>128</v>
      </c>
      <c r="K15" s="23" t="s">
        <v>129</v>
      </c>
      <c r="L15" s="22">
        <v>0</v>
      </c>
      <c r="M15" s="22">
        <v>0</v>
      </c>
      <c r="N15" s="22">
        <v>74100</v>
      </c>
      <c r="O15" s="22" t="s">
        <v>130</v>
      </c>
      <c r="P15" s="22">
        <v>130</v>
      </c>
      <c r="Q15" s="22" t="s">
        <v>131</v>
      </c>
      <c r="R15" s="22" t="s">
        <v>152</v>
      </c>
      <c r="S15" s="4" t="s">
        <v>141</v>
      </c>
      <c r="T15" s="4" t="s">
        <v>141</v>
      </c>
    </row>
    <row r="16" spans="1:20" ht="255" customHeight="1" x14ac:dyDescent="0.25">
      <c r="A16" s="2">
        <v>13</v>
      </c>
      <c r="B16" s="3" t="s">
        <v>35</v>
      </c>
      <c r="C16" s="9" t="s">
        <v>97</v>
      </c>
      <c r="D16" s="21">
        <v>511717451521</v>
      </c>
      <c r="E16" s="22" t="s">
        <v>133</v>
      </c>
      <c r="F16" s="22" t="s">
        <v>134</v>
      </c>
      <c r="G16" s="22" t="s">
        <v>135</v>
      </c>
      <c r="H16" s="22" t="s">
        <v>136</v>
      </c>
      <c r="I16" s="11" t="s">
        <v>84</v>
      </c>
      <c r="J16" s="7">
        <v>45636</v>
      </c>
      <c r="K16" s="2" t="s">
        <v>85</v>
      </c>
      <c r="L16" s="22">
        <v>0</v>
      </c>
      <c r="M16" s="4">
        <v>142029</v>
      </c>
      <c r="N16" s="4">
        <v>142029</v>
      </c>
      <c r="O16" s="2" t="s">
        <v>114</v>
      </c>
      <c r="P16" s="2">
        <v>130</v>
      </c>
      <c r="Q16" s="6" t="s">
        <v>87</v>
      </c>
      <c r="R16" s="2" t="s">
        <v>153</v>
      </c>
      <c r="S16" s="4" t="s">
        <v>141</v>
      </c>
      <c r="T16" s="4" t="s">
        <v>141</v>
      </c>
    </row>
    <row r="17" spans="1:20" ht="336.75" customHeight="1" x14ac:dyDescent="0.25">
      <c r="A17" s="2">
        <v>14</v>
      </c>
      <c r="B17" s="3" t="s">
        <v>35</v>
      </c>
      <c r="C17" s="9" t="s">
        <v>97</v>
      </c>
      <c r="D17" s="4" t="s">
        <v>141</v>
      </c>
      <c r="E17" s="2" t="s">
        <v>137</v>
      </c>
      <c r="F17" s="2" t="s">
        <v>138</v>
      </c>
      <c r="G17" s="2" t="s">
        <v>139</v>
      </c>
      <c r="H17" s="2" t="s">
        <v>140</v>
      </c>
      <c r="I17" s="11" t="s">
        <v>88</v>
      </c>
      <c r="J17" s="7">
        <v>45607</v>
      </c>
      <c r="K17" s="4" t="s">
        <v>141</v>
      </c>
      <c r="L17" s="22">
        <v>0</v>
      </c>
      <c r="M17" s="4" t="s">
        <v>86</v>
      </c>
      <c r="N17" s="4" t="s">
        <v>89</v>
      </c>
      <c r="O17" s="2" t="s">
        <v>119</v>
      </c>
      <c r="P17" s="12">
        <v>130</v>
      </c>
      <c r="Q17" s="4" t="s">
        <v>98</v>
      </c>
      <c r="R17" s="2" t="s">
        <v>154</v>
      </c>
      <c r="S17" s="4" t="s">
        <v>141</v>
      </c>
      <c r="T17" s="4" t="s">
        <v>141</v>
      </c>
    </row>
    <row r="18" spans="1:20" ht="167.25" customHeight="1" x14ac:dyDescent="0.25">
      <c r="A18" s="2">
        <v>15</v>
      </c>
      <c r="B18" s="3" t="s">
        <v>35</v>
      </c>
      <c r="C18" s="9" t="s">
        <v>97</v>
      </c>
      <c r="D18" s="4" t="s">
        <v>141</v>
      </c>
      <c r="E18" s="4" t="s">
        <v>141</v>
      </c>
      <c r="F18" s="4" t="s">
        <v>141</v>
      </c>
      <c r="G18" s="4" t="s">
        <v>141</v>
      </c>
      <c r="H18" s="4" t="s">
        <v>141</v>
      </c>
      <c r="I18" s="11" t="s">
        <v>90</v>
      </c>
      <c r="J18" s="7">
        <v>45839</v>
      </c>
      <c r="K18" s="2" t="s">
        <v>91</v>
      </c>
      <c r="L18" s="22">
        <v>0</v>
      </c>
      <c r="M18" s="4">
        <v>89625</v>
      </c>
      <c r="N18" s="4">
        <v>89625</v>
      </c>
      <c r="O18" s="2" t="s">
        <v>120</v>
      </c>
      <c r="P18" s="2">
        <v>130</v>
      </c>
      <c r="Q18" s="13" t="s">
        <v>92</v>
      </c>
      <c r="R18" s="2" t="s">
        <v>93</v>
      </c>
      <c r="S18" s="4" t="s">
        <v>141</v>
      </c>
      <c r="T18" s="4" t="s">
        <v>141</v>
      </c>
    </row>
    <row r="19" spans="1:20" ht="150.75" thickBot="1" x14ac:dyDescent="0.3">
      <c r="A19" s="2">
        <v>16</v>
      </c>
      <c r="B19" s="3" t="s">
        <v>35</v>
      </c>
      <c r="C19" s="9" t="s">
        <v>97</v>
      </c>
      <c r="D19" s="4" t="s">
        <v>141</v>
      </c>
      <c r="E19" s="4" t="s">
        <v>141</v>
      </c>
      <c r="F19" s="4" t="s">
        <v>141</v>
      </c>
      <c r="G19" s="4" t="s">
        <v>141</v>
      </c>
      <c r="H19" s="4" t="s">
        <v>141</v>
      </c>
      <c r="I19" s="11" t="s">
        <v>94</v>
      </c>
      <c r="J19" s="7" t="s">
        <v>95</v>
      </c>
      <c r="K19" s="2" t="s">
        <v>91</v>
      </c>
      <c r="L19" s="22">
        <v>0</v>
      </c>
      <c r="M19" s="4">
        <v>226755</v>
      </c>
      <c r="N19" s="4">
        <v>226755</v>
      </c>
      <c r="O19" s="2" t="s">
        <v>81</v>
      </c>
      <c r="P19" s="2">
        <v>130</v>
      </c>
      <c r="Q19" s="13" t="s">
        <v>96</v>
      </c>
      <c r="R19" s="2" t="s">
        <v>108</v>
      </c>
      <c r="S19" s="4" t="s">
        <v>141</v>
      </c>
      <c r="T19" s="4" t="s">
        <v>141</v>
      </c>
    </row>
    <row r="20" spans="1:20" s="68" customFormat="1" ht="75.75" thickBot="1" x14ac:dyDescent="0.3">
      <c r="A20" s="58">
        <v>17</v>
      </c>
      <c r="B20" s="69" t="s">
        <v>35</v>
      </c>
      <c r="C20" s="70" t="s">
        <v>97</v>
      </c>
      <c r="D20" s="64">
        <v>201908024497</v>
      </c>
      <c r="E20" s="64" t="s">
        <v>99</v>
      </c>
      <c r="F20" s="64" t="s">
        <v>100</v>
      </c>
      <c r="G20" s="64" t="s">
        <v>101</v>
      </c>
      <c r="H20" s="64" t="s">
        <v>102</v>
      </c>
      <c r="I20" s="71" t="s">
        <v>103</v>
      </c>
      <c r="J20" s="72">
        <v>45701</v>
      </c>
      <c r="K20" s="62">
        <v>45755</v>
      </c>
      <c r="L20" s="64">
        <v>0</v>
      </c>
      <c r="M20" s="64">
        <v>377400</v>
      </c>
      <c r="N20" s="64">
        <f t="shared" si="0"/>
        <v>377400</v>
      </c>
      <c r="O20" s="58" t="s">
        <v>121</v>
      </c>
      <c r="P20" s="58">
        <v>130</v>
      </c>
      <c r="Q20" s="64" t="s">
        <v>98</v>
      </c>
      <c r="R20" s="58" t="s">
        <v>213</v>
      </c>
      <c r="S20" s="66" t="s">
        <v>110</v>
      </c>
      <c r="T20" s="67" t="s">
        <v>66</v>
      </c>
    </row>
    <row r="21" spans="1:20" s="68" customFormat="1" ht="75.75" thickBot="1" x14ac:dyDescent="0.3">
      <c r="A21" s="58">
        <v>18</v>
      </c>
      <c r="B21" s="59" t="s">
        <v>35</v>
      </c>
      <c r="C21" s="59" t="s">
        <v>97</v>
      </c>
      <c r="D21" s="60">
        <v>231919226510</v>
      </c>
      <c r="E21" s="59" t="s">
        <v>105</v>
      </c>
      <c r="F21" s="59" t="s">
        <v>106</v>
      </c>
      <c r="G21" s="59" t="s">
        <v>101</v>
      </c>
      <c r="H21" s="59" t="s">
        <v>102</v>
      </c>
      <c r="I21" s="59" t="s">
        <v>107</v>
      </c>
      <c r="J21" s="73">
        <v>45720</v>
      </c>
      <c r="K21" s="62">
        <v>45755</v>
      </c>
      <c r="L21" s="59">
        <v>0</v>
      </c>
      <c r="M21" s="59">
        <v>821304</v>
      </c>
      <c r="N21" s="59">
        <v>821304</v>
      </c>
      <c r="O21" s="58" t="s">
        <v>122</v>
      </c>
      <c r="P21" s="58">
        <v>130</v>
      </c>
      <c r="Q21" s="59" t="s">
        <v>98</v>
      </c>
      <c r="R21" s="59" t="s">
        <v>214</v>
      </c>
      <c r="S21" s="66" t="s">
        <v>110</v>
      </c>
      <c r="T21" s="67" t="s">
        <v>66</v>
      </c>
    </row>
    <row r="22" spans="1:20" s="35" customFormat="1" ht="37.5" x14ac:dyDescent="0.25">
      <c r="A22" s="2">
        <v>19</v>
      </c>
      <c r="B22" s="28" t="s">
        <v>35</v>
      </c>
      <c r="C22" s="28" t="s">
        <v>97</v>
      </c>
      <c r="D22" s="29">
        <v>691872249963</v>
      </c>
      <c r="E22" s="30" t="s">
        <v>144</v>
      </c>
      <c r="F22" s="30" t="s">
        <v>145</v>
      </c>
      <c r="G22" s="30" t="s">
        <v>146</v>
      </c>
      <c r="H22" s="30" t="s">
        <v>147</v>
      </c>
      <c r="I22" s="30" t="s">
        <v>148</v>
      </c>
      <c r="J22" s="31">
        <v>45729</v>
      </c>
      <c r="K22" s="32" t="s">
        <v>141</v>
      </c>
      <c r="L22" s="28">
        <v>0</v>
      </c>
      <c r="M22" s="28">
        <v>0</v>
      </c>
      <c r="N22" s="28">
        <v>0</v>
      </c>
      <c r="O22" s="30" t="s">
        <v>149</v>
      </c>
      <c r="P22" s="32" t="s">
        <v>141</v>
      </c>
      <c r="Q22" s="28" t="s">
        <v>132</v>
      </c>
      <c r="R22" s="13" t="s">
        <v>104</v>
      </c>
      <c r="S22" s="33" t="s">
        <v>150</v>
      </c>
      <c r="T22" s="34" t="s">
        <v>151</v>
      </c>
    </row>
    <row r="23" spans="1:20" s="19" customFormat="1" ht="57" thickBot="1" x14ac:dyDescent="0.3">
      <c r="A23" s="2">
        <v>20</v>
      </c>
      <c r="B23" s="18" t="s">
        <v>35</v>
      </c>
      <c r="C23" s="18" t="s">
        <v>97</v>
      </c>
      <c r="D23" s="27">
        <v>112071234003</v>
      </c>
      <c r="E23" s="27" t="s">
        <v>155</v>
      </c>
      <c r="F23" s="27" t="s">
        <v>156</v>
      </c>
      <c r="G23" s="27" t="s">
        <v>157</v>
      </c>
      <c r="H23" s="27" t="s">
        <v>158</v>
      </c>
      <c r="I23" s="27" t="s">
        <v>159</v>
      </c>
      <c r="J23" s="25">
        <v>45737</v>
      </c>
      <c r="K23" s="32" t="s">
        <v>141</v>
      </c>
      <c r="L23" s="28">
        <v>0</v>
      </c>
      <c r="M23" s="28">
        <v>0</v>
      </c>
      <c r="N23" s="28">
        <v>0</v>
      </c>
      <c r="O23" s="24" t="s">
        <v>160</v>
      </c>
      <c r="P23" s="32" t="s">
        <v>141</v>
      </c>
      <c r="Q23" s="18" t="s">
        <v>163</v>
      </c>
      <c r="R23" s="13" t="s">
        <v>104</v>
      </c>
      <c r="S23" s="26" t="s">
        <v>161</v>
      </c>
      <c r="T23" s="26" t="s">
        <v>162</v>
      </c>
    </row>
    <row r="24" spans="1:20" s="68" customFormat="1" ht="63" customHeight="1" thickBot="1" x14ac:dyDescent="0.3">
      <c r="A24" s="58">
        <v>22</v>
      </c>
      <c r="B24" s="59" t="s">
        <v>35</v>
      </c>
      <c r="C24" s="59" t="s">
        <v>97</v>
      </c>
      <c r="D24" s="60" t="s">
        <v>141</v>
      </c>
      <c r="E24" s="60" t="s">
        <v>141</v>
      </c>
      <c r="F24" s="60" t="s">
        <v>141</v>
      </c>
      <c r="G24" s="60" t="s">
        <v>141</v>
      </c>
      <c r="H24" s="60" t="s">
        <v>141</v>
      </c>
      <c r="I24" s="60" t="s">
        <v>164</v>
      </c>
      <c r="J24" s="61">
        <v>45747</v>
      </c>
      <c r="K24" s="62">
        <v>45755</v>
      </c>
      <c r="L24" s="59">
        <v>0</v>
      </c>
      <c r="M24" s="59">
        <v>614448</v>
      </c>
      <c r="N24" s="59">
        <v>614448</v>
      </c>
      <c r="O24" s="63" t="s">
        <v>165</v>
      </c>
      <c r="P24" s="64">
        <v>130</v>
      </c>
      <c r="Q24" s="65" t="s">
        <v>211</v>
      </c>
      <c r="R24" s="74" t="s">
        <v>212</v>
      </c>
      <c r="S24" s="66" t="s">
        <v>110</v>
      </c>
      <c r="T24" s="67" t="s">
        <v>66</v>
      </c>
    </row>
    <row r="25" spans="1:20" s="35" customFormat="1" ht="63" customHeight="1" x14ac:dyDescent="0.3">
      <c r="A25" s="37">
        <v>23</v>
      </c>
      <c r="B25" s="28" t="s">
        <v>35</v>
      </c>
      <c r="C25" s="28" t="s">
        <v>97</v>
      </c>
      <c r="D25" s="29">
        <v>661883441070</v>
      </c>
      <c r="E25" s="29" t="s">
        <v>166</v>
      </c>
      <c r="F25" s="29" t="s">
        <v>167</v>
      </c>
      <c r="G25" s="29" t="s">
        <v>168</v>
      </c>
      <c r="H25" s="29" t="s">
        <v>169</v>
      </c>
      <c r="I25" s="29" t="s">
        <v>170</v>
      </c>
      <c r="J25" s="31">
        <v>45751</v>
      </c>
      <c r="K25" s="32" t="s">
        <v>141</v>
      </c>
      <c r="L25" s="28">
        <v>0</v>
      </c>
      <c r="M25" s="28">
        <v>0</v>
      </c>
      <c r="N25" s="28">
        <v>0</v>
      </c>
      <c r="O25" s="30" t="s">
        <v>171</v>
      </c>
      <c r="P25" s="32" t="s">
        <v>141</v>
      </c>
      <c r="Q25" s="28" t="s">
        <v>70</v>
      </c>
      <c r="R25" s="38" t="s">
        <v>70</v>
      </c>
      <c r="S25" s="33" t="s">
        <v>172</v>
      </c>
      <c r="T25" s="33" t="s">
        <v>173</v>
      </c>
    </row>
    <row r="26" spans="1:20" s="35" customFormat="1" ht="63" customHeight="1" x14ac:dyDescent="0.3">
      <c r="A26" s="37">
        <v>25</v>
      </c>
      <c r="B26" s="28" t="s">
        <v>35</v>
      </c>
      <c r="C26" s="28" t="s">
        <v>97</v>
      </c>
      <c r="D26" s="29">
        <v>241937359429</v>
      </c>
      <c r="E26" s="29" t="s">
        <v>175</v>
      </c>
      <c r="F26" s="29" t="s">
        <v>176</v>
      </c>
      <c r="G26" s="29" t="s">
        <v>177</v>
      </c>
      <c r="H26" s="29" t="s">
        <v>178</v>
      </c>
      <c r="I26" s="29" t="s">
        <v>179</v>
      </c>
      <c r="J26" s="31">
        <v>45753</v>
      </c>
      <c r="K26" s="32" t="s">
        <v>141</v>
      </c>
      <c r="L26" s="28">
        <v>0</v>
      </c>
      <c r="M26" s="28">
        <v>0</v>
      </c>
      <c r="N26" s="28">
        <v>0</v>
      </c>
      <c r="O26" s="30" t="s">
        <v>149</v>
      </c>
      <c r="P26" s="32" t="s">
        <v>141</v>
      </c>
      <c r="Q26" s="28" t="s">
        <v>70</v>
      </c>
      <c r="R26" s="38" t="s">
        <v>70</v>
      </c>
      <c r="S26" s="33" t="s">
        <v>191</v>
      </c>
      <c r="T26" s="33" t="s">
        <v>192</v>
      </c>
    </row>
    <row r="27" spans="1:20" s="35" customFormat="1" ht="63" customHeight="1" thickBot="1" x14ac:dyDescent="0.35">
      <c r="A27" s="37">
        <v>26</v>
      </c>
      <c r="B27" s="28" t="s">
        <v>35</v>
      </c>
      <c r="C27" s="28" t="s">
        <v>97</v>
      </c>
      <c r="D27" s="29">
        <v>651885107151</v>
      </c>
      <c r="E27" s="29" t="s">
        <v>180</v>
      </c>
      <c r="F27" s="29" t="s">
        <v>181</v>
      </c>
      <c r="G27" s="29" t="s">
        <v>182</v>
      </c>
      <c r="H27" s="29" t="s">
        <v>183</v>
      </c>
      <c r="I27" s="29" t="s">
        <v>184</v>
      </c>
      <c r="J27" s="31">
        <v>45753</v>
      </c>
      <c r="K27" s="32" t="s">
        <v>141</v>
      </c>
      <c r="L27" s="28">
        <v>0</v>
      </c>
      <c r="M27" s="28">
        <v>0</v>
      </c>
      <c r="N27" s="28">
        <v>0</v>
      </c>
      <c r="O27" s="30" t="s">
        <v>171</v>
      </c>
      <c r="P27" s="32" t="s">
        <v>141</v>
      </c>
      <c r="Q27" s="28" t="s">
        <v>70</v>
      </c>
      <c r="R27" s="38" t="s">
        <v>70</v>
      </c>
      <c r="S27" s="33" t="s">
        <v>193</v>
      </c>
      <c r="T27" s="33" t="s">
        <v>89</v>
      </c>
    </row>
    <row r="28" spans="1:20" s="68" customFormat="1" ht="63" customHeight="1" thickBot="1" x14ac:dyDescent="0.3">
      <c r="A28" s="58">
        <v>27</v>
      </c>
      <c r="B28" s="59" t="s">
        <v>35</v>
      </c>
      <c r="C28" s="59" t="s">
        <v>97</v>
      </c>
      <c r="D28" s="60">
        <v>601885168898</v>
      </c>
      <c r="E28" s="60" t="s">
        <v>185</v>
      </c>
      <c r="F28" s="60" t="s">
        <v>186</v>
      </c>
      <c r="G28" s="60" t="s">
        <v>187</v>
      </c>
      <c r="H28" s="60" t="s">
        <v>188</v>
      </c>
      <c r="I28" s="60" t="s">
        <v>189</v>
      </c>
      <c r="J28" s="61">
        <v>45753</v>
      </c>
      <c r="K28" s="62">
        <v>45755</v>
      </c>
      <c r="L28" s="59">
        <v>0</v>
      </c>
      <c r="M28" s="59">
        <v>310252</v>
      </c>
      <c r="N28" s="59">
        <v>310252</v>
      </c>
      <c r="O28" s="63" t="s">
        <v>190</v>
      </c>
      <c r="P28" s="64">
        <v>129</v>
      </c>
      <c r="Q28" s="59" t="s">
        <v>215</v>
      </c>
      <c r="R28" s="74" t="s">
        <v>216</v>
      </c>
      <c r="S28" s="66" t="s">
        <v>194</v>
      </c>
      <c r="T28" s="66" t="s">
        <v>89</v>
      </c>
    </row>
    <row r="29" spans="1:20" s="35" customFormat="1" ht="38.25" thickBot="1" x14ac:dyDescent="0.35">
      <c r="A29" s="40">
        <v>33</v>
      </c>
      <c r="B29" s="28" t="s">
        <v>35</v>
      </c>
      <c r="C29" s="28" t="s">
        <v>97</v>
      </c>
      <c r="D29" s="41">
        <v>311973704399</v>
      </c>
      <c r="E29" s="42" t="s">
        <v>195</v>
      </c>
      <c r="F29" s="42" t="s">
        <v>196</v>
      </c>
      <c r="G29" s="42" t="s">
        <v>197</v>
      </c>
      <c r="H29" s="42" t="s">
        <v>198</v>
      </c>
      <c r="I29" s="42" t="s">
        <v>199</v>
      </c>
      <c r="J29" s="43">
        <v>45754</v>
      </c>
      <c r="K29" s="32" t="s">
        <v>141</v>
      </c>
      <c r="L29" s="28">
        <v>0</v>
      </c>
      <c r="M29" s="28">
        <v>0</v>
      </c>
      <c r="N29" s="28">
        <v>0</v>
      </c>
      <c r="O29" s="44" t="s">
        <v>200</v>
      </c>
      <c r="P29" s="32" t="s">
        <v>141</v>
      </c>
      <c r="Q29" s="28" t="s">
        <v>70</v>
      </c>
      <c r="R29" s="28" t="s">
        <v>70</v>
      </c>
      <c r="S29" s="45" t="s">
        <v>201</v>
      </c>
      <c r="T29" s="42" t="s">
        <v>202</v>
      </c>
    </row>
    <row r="30" spans="1:20" s="57" customFormat="1" ht="75.75" thickBot="1" x14ac:dyDescent="0.35">
      <c r="A30" s="47">
        <v>34</v>
      </c>
      <c r="B30" s="48" t="s">
        <v>35</v>
      </c>
      <c r="C30" s="48" t="s">
        <v>97</v>
      </c>
      <c r="D30" s="49" t="s">
        <v>89</v>
      </c>
      <c r="E30" s="49" t="s">
        <v>203</v>
      </c>
      <c r="F30" s="49" t="s">
        <v>204</v>
      </c>
      <c r="G30" s="49" t="s">
        <v>205</v>
      </c>
      <c r="H30" s="49" t="s">
        <v>206</v>
      </c>
      <c r="I30" s="50" t="s">
        <v>207</v>
      </c>
      <c r="J30" s="51">
        <v>45755</v>
      </c>
      <c r="K30" s="51">
        <v>45755</v>
      </c>
      <c r="L30" s="48">
        <v>0</v>
      </c>
      <c r="M30" s="52">
        <v>204000</v>
      </c>
      <c r="N30" s="46">
        <v>204000</v>
      </c>
      <c r="O30" s="49" t="s">
        <v>208</v>
      </c>
      <c r="P30" s="53">
        <v>130</v>
      </c>
      <c r="Q30" s="54" t="s">
        <v>209</v>
      </c>
      <c r="R30" s="54" t="s">
        <v>210</v>
      </c>
      <c r="S30" s="55" t="s">
        <v>110</v>
      </c>
      <c r="T30" s="56" t="s">
        <v>66</v>
      </c>
    </row>
  </sheetData>
  <mergeCells count="13">
    <mergeCell ref="Q2:Q3"/>
    <mergeCell ref="R2:R3"/>
    <mergeCell ref="S2:T2"/>
    <mergeCell ref="A1:T1"/>
    <mergeCell ref="A2:A3"/>
    <mergeCell ref="B2:B3"/>
    <mergeCell ref="C2:C3"/>
    <mergeCell ref="D2:F2"/>
    <mergeCell ref="G2:H2"/>
    <mergeCell ref="I2:K2"/>
    <mergeCell ref="L2:N2"/>
    <mergeCell ref="O2:O3"/>
    <mergeCell ref="P2:P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abSelected="1" workbookViewId="0">
      <selection activeCell="I3" sqref="I3"/>
    </sheetView>
  </sheetViews>
  <sheetFormatPr defaultRowHeight="15" x14ac:dyDescent="0.25"/>
  <cols>
    <col min="2" max="2" width="13.42578125" customWidth="1"/>
    <col min="3" max="3" width="13.85546875" customWidth="1"/>
    <col min="4" max="4" width="18" customWidth="1"/>
    <col min="5" max="5" width="14.140625" customWidth="1"/>
    <col min="6" max="6" width="21" customWidth="1"/>
    <col min="7" max="7" width="19.85546875" customWidth="1"/>
    <col min="8" max="8" width="20.140625" customWidth="1"/>
    <col min="9" max="9" width="22.85546875" customWidth="1"/>
  </cols>
  <sheetData>
    <row r="1" spans="1:9" s="8" customFormat="1" ht="84.75" thickBot="1" x14ac:dyDescent="0.3">
      <c r="A1" s="14" t="s">
        <v>26</v>
      </c>
      <c r="B1" s="14" t="s">
        <v>27</v>
      </c>
      <c r="C1" s="14" t="s">
        <v>28</v>
      </c>
      <c r="D1" s="14" t="s">
        <v>29</v>
      </c>
      <c r="E1" s="14" t="s">
        <v>30</v>
      </c>
      <c r="F1" s="14" t="s">
        <v>31</v>
      </c>
      <c r="G1" s="14" t="s">
        <v>32</v>
      </c>
      <c r="H1" s="14" t="s">
        <v>33</v>
      </c>
      <c r="I1" s="14" t="s">
        <v>34</v>
      </c>
    </row>
    <row r="2" spans="1:9" ht="63.75" thickBot="1" x14ac:dyDescent="0.3">
      <c r="A2" s="14">
        <v>2</v>
      </c>
      <c r="B2" s="15" t="s">
        <v>35</v>
      </c>
      <c r="C2" s="15" t="s">
        <v>97</v>
      </c>
      <c r="D2" s="36">
        <v>562</v>
      </c>
      <c r="E2" s="39">
        <v>43</v>
      </c>
      <c r="F2" s="39">
        <v>5</v>
      </c>
      <c r="G2" s="16">
        <v>0</v>
      </c>
      <c r="H2" s="16">
        <v>5</v>
      </c>
      <c r="I2" s="16">
        <v>23.27</v>
      </c>
    </row>
    <row r="7" spans="1:9" x14ac:dyDescent="0.25">
      <c r="E7">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Admin</cp:lastModifiedBy>
  <dcterms:created xsi:type="dcterms:W3CDTF">2025-03-06T05:17:27Z</dcterms:created>
  <dcterms:modified xsi:type="dcterms:W3CDTF">2025-04-08T20:52:46Z</dcterms:modified>
</cp:coreProperties>
</file>